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a52d2729438a6e/Desktop/"/>
    </mc:Choice>
  </mc:AlternateContent>
  <xr:revisionPtr revIDLastSave="25" documentId="13_ncr:1_{5C98FE59-5814-4327-B82E-B845D39CF7B4}" xr6:coauthVersionLast="47" xr6:coauthVersionMax="47" xr10:uidLastSave="{22303519-B4A0-40D0-A911-B63612B85709}"/>
  <bookViews>
    <workbookView xWindow="-108" yWindow="-108" windowWidth="23256" windowHeight="13896" tabRatio="335" xr2:uid="{184AB790-279D-478F-B2FB-2437E6840975}"/>
  </bookViews>
  <sheets>
    <sheet name="TITULAR" sheetId="8" r:id="rId1"/>
    <sheet name="INFORMES" sheetId="6" r:id="rId2"/>
    <sheet name="NOTAS" sheetId="4" r:id="rId3"/>
    <sheet name="TABELAS" sheetId="9" state="hidden" r:id="rId4"/>
  </sheets>
  <definedNames>
    <definedName name="tabela_entradas">NOTAS!$C$7:$E$46</definedName>
    <definedName name="valor_entradas">Tabela1[VALOR]</definedName>
    <definedName name="valor_investimento">INFORMES!$D$26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4" l="1"/>
  <c r="H29" i="4"/>
  <c r="H30" i="4"/>
  <c r="I23" i="4"/>
  <c r="I21" i="4"/>
  <c r="H5" i="8"/>
  <c r="G4" i="8"/>
  <c r="D4" i="9"/>
  <c r="D3" i="9"/>
  <c r="D2" i="9"/>
  <c r="C4" i="9"/>
  <c r="C3" i="9"/>
  <c r="C2" i="9"/>
  <c r="C7" i="6"/>
  <c r="I25" i="4" l="1"/>
</calcChain>
</file>

<file path=xl/sharedStrings.xml><?xml version="1.0" encoding="utf-8"?>
<sst xmlns="http://schemas.openxmlformats.org/spreadsheetml/2006/main" count="167" uniqueCount="128">
  <si>
    <t>NOME</t>
  </si>
  <si>
    <t>CPF</t>
  </si>
  <si>
    <t>NASCIMENTO</t>
  </si>
  <si>
    <t xml:space="preserve">TÍTULO DE ELEITOR 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</si>
  <si>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</si>
  <si>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</si>
  <si>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</si>
  <si>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</si>
  <si>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</si>
  <si>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</si>
  <si>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</si>
  <si>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</si>
  <si>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</si>
  <si>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</si>
  <si>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</si>
  <si>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>2. INFORMES DE RENDIMENTOS BANCÁRIOS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</si>
  <si>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</si>
  <si>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</si>
  <si>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</si>
  <si>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</si>
  <si>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</si>
  <si>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</si>
  <si>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</si>
  <si>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</si>
  <si>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</si>
  <si>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</si>
  <si>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</si>
  <si>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</si>
  <si>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</si>
  <si>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</si>
  <si>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</si>
  <si>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</si>
  <si>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</si>
  <si>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</si>
  <si>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</si>
  <si>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</si>
  <si>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</si>
  <si>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</si>
  <si>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</si>
  <si>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</si>
  <si>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</si>
  <si>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</si>
  <si>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</si>
  <si>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</si>
  <si>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</si>
  <si>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</si>
  <si>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</si>
  <si>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</si>
  <si>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</si>
  <si>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</si>
  <si>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</si>
  <si>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</si>
  <si>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</si>
  <si>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</si>
  <si>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</si>
  <si>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</si>
  <si>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</si>
  <si>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</si>
  <si>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</si>
  <si>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</si>
  <si>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</si>
  <si>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</si>
  <si>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</si>
  <si>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</si>
  <si>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</si>
  <si>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</si>
  <si>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</si>
  <si>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</si>
  <si>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</si>
  <si>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</si>
  <si>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</si>
  <si>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</si>
  <si>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</si>
  <si>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</si>
  <si>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</si>
  <si>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EXTRATOS DE HOLERITES</t>
  </si>
  <si>
    <t>São todos valores de entrada mês a mês de receita</t>
  </si>
  <si>
    <t>DATA</t>
  </si>
  <si>
    <t>CATEGORIA</t>
  </si>
  <si>
    <t>VALOR</t>
  </si>
  <si>
    <t>ENTRADAS</t>
  </si>
  <si>
    <t>Holerite</t>
  </si>
  <si>
    <t>Freelancer</t>
  </si>
  <si>
    <t>CNPJ</t>
  </si>
  <si>
    <t>13º - 1ª Parcela</t>
  </si>
  <si>
    <t>13º - 2ª Parcela</t>
  </si>
  <si>
    <t>Despesas médicas</t>
  </si>
  <si>
    <t>Plano de saúde</t>
  </si>
  <si>
    <t>Educação</t>
  </si>
  <si>
    <t>INSS</t>
  </si>
  <si>
    <t>Previdência privada (PGBL)</t>
  </si>
  <si>
    <t>Despesas profissionais / Livro Caixa</t>
  </si>
  <si>
    <t>Dependentes</t>
  </si>
  <si>
    <t>Pensão alimentícia</t>
  </si>
  <si>
    <t>DESCRIÇÃO</t>
  </si>
  <si>
    <t>Conta bancária</t>
  </si>
  <si>
    <t>Veículo</t>
  </si>
  <si>
    <t>Toyota Corolla XEi 2021 — aquisição anterior</t>
  </si>
  <si>
    <t>Aplicação financeira</t>
  </si>
  <si>
    <t>TOTAL BENS E DIREITOS</t>
  </si>
  <si>
    <t>INFORMAÇÕES PARA O IRPF</t>
  </si>
  <si>
    <t>Tabela de apoio</t>
  </si>
  <si>
    <t>Coluna1</t>
  </si>
  <si>
    <t>RUA ABREVIADA</t>
  </si>
  <si>
    <t>INFORMAÇÃO</t>
  </si>
  <si>
    <t>BEM</t>
  </si>
  <si>
    <t>Saldos das contas informadas</t>
  </si>
  <si>
    <t>TOTAL DE ENTRADAS</t>
  </si>
  <si>
    <t>BENS E DIREITOS</t>
  </si>
  <si>
    <t>DÍVIDAS E ÔNUS</t>
  </si>
  <si>
    <t>CDB</t>
  </si>
  <si>
    <t>Investimento</t>
  </si>
  <si>
    <t>TIPO</t>
  </si>
  <si>
    <t>Progresso:</t>
  </si>
  <si>
    <t>Maria do Exemplo</t>
  </si>
  <si>
    <t>Não</t>
  </si>
  <si>
    <t>Status do preenchimento</t>
  </si>
  <si>
    <t>Rafael do Exemplo</t>
  </si>
  <si>
    <t>maria.exemplo@exemplo.com</t>
  </si>
  <si>
    <t>Rua dos Limoeiros M, Nº 245</t>
  </si>
  <si>
    <t>Rua dos Limoeiros Moraes, Nº 245</t>
  </si>
  <si>
    <t>VALOR 2025</t>
  </si>
  <si>
    <t>itau_2025.pdf</t>
  </si>
  <si>
    <t>nubank_2025.pdf</t>
  </si>
  <si>
    <t>bancodobrasil_2025.pdf</t>
  </si>
  <si>
    <t>BENS E DIREITOS — 2025</t>
  </si>
  <si>
    <t>informe_CDB_2025.pdf</t>
  </si>
  <si>
    <t>FECHAMENTO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</si>
</sst>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R$&quot;\ #,##0;[Red]\-&quot;R$&quot;\ #,##0"/>
    <numFmt numFmtId="8" formatCode="&quot;R$&quot;\ #,##0.00;[Red]\-&quot;R$&quot;\ #,##0.00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\R\$\ #,##0.00"/>
  </numFmts>
  <fonts count="3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 tint="0.1499984740745262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8" tint="-0.249977111117893"/>
      <name val="Segoe UI"/>
      <family val="2"/>
    </font>
    <font>
      <sz val="11"/>
      <color theme="8"/>
      <name val="Segoe UI"/>
      <family val="2"/>
    </font>
    <font>
      <b/>
      <sz val="11"/>
      <color theme="8"/>
      <name val="Segoe UI Light"/>
      <family val="2"/>
    </font>
    <font>
      <b/>
      <sz val="11"/>
      <color theme="0"/>
      <name val="Aptos Narrow"/>
      <family val="2"/>
      <scheme val="minor"/>
    </font>
    <font>
      <b/>
      <sz val="10"/>
      <color theme="8" tint="-0.249977111117893"/>
      <name val="Segoe UI"/>
      <family val="2"/>
    </font>
    <font>
      <sz val="11"/>
      <color theme="8" tint="-0.249977111117893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Segoe UI Light"/>
      <family val="2"/>
    </font>
    <font>
      <b/>
      <sz val="8"/>
      <color theme="1"/>
      <name val="Segoe UI Light"/>
      <family val="2"/>
    </font>
    <font>
      <sz val="10"/>
      <color theme="1"/>
      <name val="Segoe UI Light"/>
      <family val="2"/>
    </font>
    <font>
      <b/>
      <sz val="11"/>
      <color theme="0"/>
      <name val="Segoe UI"/>
      <family val="2"/>
    </font>
    <font>
      <b/>
      <sz val="11"/>
      <color theme="0"/>
      <name val="Segoe UI 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BD5F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27EF2"/>
        <bgColor indexed="64"/>
      </patternFill>
    </fill>
    <fill>
      <patternFill patternType="solid">
        <fgColor rgb="FFFEF0FA"/>
        <bgColor indexed="64"/>
      </patternFill>
    </fill>
    <fill>
      <patternFill patternType="solid">
        <fgColor rgb="FFFEF0FA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B88DE3"/>
        <bgColor theme="8" tint="0.79998168889431442"/>
      </patternFill>
    </fill>
    <fill>
      <patternFill patternType="solid">
        <fgColor rgb="FFB88DE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8E63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59996337778862885"/>
      </left>
      <right style="thin">
        <color theme="8" tint="0.59996337778862885"/>
      </right>
      <top/>
      <bottom/>
      <diagonal/>
    </border>
    <border>
      <left/>
      <right style="thin">
        <color theme="8" tint="0.59996337778862885"/>
      </right>
      <top/>
      <bottom/>
      <diagonal/>
    </border>
    <border>
      <left style="thin">
        <color theme="8" tint="0.59996337778862885"/>
      </left>
      <right/>
      <top/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/>
      <right/>
      <top style="thin">
        <color theme="8" tint="0.59996337778862885"/>
      </top>
      <bottom/>
      <diagonal/>
    </border>
    <border>
      <left/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/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8" tint="0.59996337778862885"/>
      </top>
      <bottom style="thin">
        <color theme="8" tint="0.59996337778862885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3" fillId="0" borderId="0" applyFont="0" applyFill="0" applyBorder="0" applyAlignment="0" applyProtection="0"/>
  </cellStyleXfs>
  <cellXfs count="92">
    <xf numFmtId="0" fontId="0" fillId="0" borderId="0" xfId="0"/>
    <xf numFmtId="0" fontId="0" fillId="3" borderId="0" xfId="0" applyFill="1"/>
    <xf numFmtId="0" fontId="4" fillId="0" borderId="3" xfId="1" applyFont="1" applyBorder="1"/>
    <xf numFmtId="0" fontId="1" fillId="0" borderId="3" xfId="1" applyBorder="1"/>
    <xf numFmtId="0" fontId="3" fillId="0" borderId="2" xfId="0" applyFont="1" applyBorder="1" applyAlignment="1">
      <alignment horizontal="right"/>
    </xf>
    <xf numFmtId="0" fontId="0" fillId="0" borderId="0" xfId="0"/>
    <xf numFmtId="0" fontId="7" fillId="5" borderId="4" xfId="0" applyFont="1" applyFill="1" applyBorder="1"/>
    <xf numFmtId="0" fontId="0" fillId="0" borderId="4" xfId="0" applyBorder="1"/>
    <xf numFmtId="0" fontId="9" fillId="0" borderId="0" xfId="0" applyFont="1"/>
    <xf numFmtId="0" fontId="10" fillId="0" borderId="0" xfId="0" applyFont="1"/>
    <xf numFmtId="0" fontId="14" fillId="0" borderId="0" xfId="0" applyFont="1"/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6" fontId="15" fillId="0" borderId="0" xfId="0" applyNumberFormat="1" applyFont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6" fontId="0" fillId="0" borderId="0" xfId="0" applyNumberFormat="1" applyBorder="1" applyAlignment="1">
      <alignment horizontal="right" vertical="center" wrapText="1"/>
    </xf>
    <xf numFmtId="0" fontId="15" fillId="0" borderId="0" xfId="0" applyFont="1" applyBorder="1" applyAlignment="1">
      <alignment vertical="center" wrapText="1"/>
    </xf>
    <xf numFmtId="6" fontId="15" fillId="0" borderId="0" xfId="0" applyNumberFormat="1" applyFont="1" applyBorder="1" applyAlignment="1">
      <alignment horizontal="right" vertical="center" wrapText="1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8" fontId="16" fillId="0" borderId="0" xfId="0" applyNumberFormat="1" applyFont="1" applyBorder="1" applyAlignment="1">
      <alignment horizontal="center" vertical="center" wrapText="1"/>
    </xf>
    <xf numFmtId="0" fontId="12" fillId="0" borderId="0" xfId="0" applyFont="1" applyFill="1" applyBorder="1" applyAlignment="1"/>
    <xf numFmtId="169" fontId="14" fillId="0" borderId="0" xfId="0" applyNumberFormat="1" applyFont="1" applyBorder="1"/>
    <xf numFmtId="0" fontId="14" fillId="0" borderId="0" xfId="0" applyFont="1" applyBorder="1"/>
    <xf numFmtId="0" fontId="16" fillId="0" borderId="0" xfId="0" applyFont="1"/>
    <xf numFmtId="169" fontId="18" fillId="0" borderId="0" xfId="0" applyNumberFormat="1" applyFont="1" applyFill="1" applyBorder="1"/>
    <xf numFmtId="0" fontId="11" fillId="0" borderId="0" xfId="0" applyFont="1" applyFill="1" applyBorder="1" applyAlignment="1"/>
    <xf numFmtId="0" fontId="19" fillId="0" borderId="0" xfId="0" applyFont="1" applyFill="1" applyBorder="1" applyAlignment="1">
      <alignment horizontal="center"/>
    </xf>
    <xf numFmtId="168" fontId="0" fillId="0" borderId="0" xfId="0" applyNumberFormat="1"/>
    <xf numFmtId="0" fontId="20" fillId="5" borderId="0" xfId="0" applyFont="1" applyFill="1" applyAlignment="1">
      <alignment vertical="center"/>
    </xf>
    <xf numFmtId="8" fontId="22" fillId="9" borderId="8" xfId="0" applyNumberFormat="1" applyFont="1" applyFill="1" applyBorder="1" applyAlignment="1">
      <alignment horizontal="center" vertical="center" wrapText="1"/>
    </xf>
    <xf numFmtId="9" fontId="28" fillId="0" borderId="16" xfId="4" applyFont="1" applyBorder="1" applyAlignment="1">
      <alignment horizontal="right" vertical="center" indent="1"/>
    </xf>
    <xf numFmtId="9" fontId="28" fillId="0" borderId="17" xfId="4" applyFont="1" applyBorder="1" applyAlignment="1">
      <alignment horizontal="left" vertical="center"/>
    </xf>
    <xf numFmtId="9" fontId="28" fillId="0" borderId="0" xfId="4" applyFont="1" applyBorder="1" applyAlignment="1">
      <alignment horizontal="right" vertical="center"/>
    </xf>
    <xf numFmtId="9" fontId="28" fillId="0" borderId="0" xfId="4" applyFont="1" applyBorder="1" applyAlignment="1">
      <alignment horizontal="center" vertical="center"/>
    </xf>
    <xf numFmtId="168" fontId="21" fillId="8" borderId="11" xfId="0" applyNumberFormat="1" applyFont="1" applyFill="1" applyBorder="1" applyAlignment="1"/>
    <xf numFmtId="49" fontId="17" fillId="7" borderId="9" xfId="0" applyNumberFormat="1" applyFont="1" applyFill="1" applyBorder="1" applyAlignment="1">
      <alignment horizontal="left" indent="1"/>
    </xf>
    <xf numFmtId="0" fontId="18" fillId="7" borderId="9" xfId="0" applyFont="1" applyFill="1" applyBorder="1"/>
    <xf numFmtId="169" fontId="17" fillId="7" borderId="9" xfId="0" applyNumberFormat="1" applyFont="1" applyFill="1" applyBorder="1" applyAlignment="1">
      <alignment horizontal="center"/>
    </xf>
    <xf numFmtId="0" fontId="22" fillId="9" borderId="8" xfId="0" applyFont="1" applyFill="1" applyBorder="1" applyAlignment="1">
      <alignment horizontal="center"/>
    </xf>
    <xf numFmtId="169" fontId="22" fillId="9" borderId="11" xfId="0" applyNumberFormat="1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/>
    </xf>
    <xf numFmtId="0" fontId="18" fillId="9" borderId="8" xfId="0" applyFont="1" applyFill="1" applyBorder="1"/>
    <xf numFmtId="169" fontId="18" fillId="9" borderId="11" xfId="0" applyNumberFormat="1" applyFont="1" applyFill="1" applyBorder="1" applyAlignment="1">
      <alignment horizontal="center"/>
    </xf>
    <xf numFmtId="0" fontId="0" fillId="9" borderId="0" xfId="0" applyFill="1" applyBorder="1" applyAlignment="1">
      <alignment vertical="center" wrapText="1"/>
    </xf>
    <xf numFmtId="0" fontId="0" fillId="9" borderId="0" xfId="0" applyFill="1" applyBorder="1" applyAlignment="1">
      <alignment horizontal="center" vertical="center" wrapText="1"/>
    </xf>
    <xf numFmtId="168" fontId="14" fillId="9" borderId="8" xfId="0" applyNumberFormat="1" applyFont="1" applyFill="1" applyBorder="1" applyAlignment="1">
      <alignment horizontal="center"/>
    </xf>
    <xf numFmtId="0" fontId="21" fillId="7" borderId="6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/>
    </xf>
    <xf numFmtId="0" fontId="22" fillId="9" borderId="10" xfId="0" applyFont="1" applyFill="1" applyBorder="1" applyAlignment="1" applyProtection="1">
      <alignment horizontal="center"/>
    </xf>
    <xf numFmtId="0" fontId="25" fillId="4" borderId="2" xfId="2" applyFont="1" applyFill="1" applyBorder="1" applyAlignment="1" applyProtection="1">
      <alignment horizontal="left"/>
      <protection locked="0"/>
    </xf>
    <xf numFmtId="164" fontId="25" fillId="4" borderId="2" xfId="2" applyNumberFormat="1" applyFont="1" applyFill="1" applyBorder="1" applyAlignment="1" applyProtection="1">
      <alignment horizontal="left"/>
      <protection locked="0"/>
    </xf>
    <xf numFmtId="14" fontId="25" fillId="4" borderId="2" xfId="2" applyNumberFormat="1" applyFont="1" applyFill="1" applyBorder="1" applyAlignment="1" applyProtection="1">
      <alignment horizontal="left"/>
      <protection locked="0"/>
    </xf>
    <xf numFmtId="165" fontId="25" fillId="4" borderId="2" xfId="2" applyNumberFormat="1" applyFont="1" applyFill="1" applyBorder="1" applyAlignment="1" applyProtection="1">
      <alignment horizontal="left"/>
      <protection locked="0"/>
    </xf>
    <xf numFmtId="166" fontId="25" fillId="4" borderId="2" xfId="2" applyNumberFormat="1" applyFont="1" applyFill="1" applyBorder="1" applyAlignment="1" applyProtection="1">
      <alignment horizontal="left"/>
      <protection locked="0"/>
    </xf>
    <xf numFmtId="167" fontId="25" fillId="4" borderId="2" xfId="2" applyNumberFormat="1" applyFont="1" applyFill="1" applyBorder="1" applyAlignment="1" applyProtection="1">
      <alignment horizontal="left"/>
      <protection locked="0"/>
    </xf>
    <xf numFmtId="0" fontId="8" fillId="4" borderId="2" xfId="3" applyFill="1" applyBorder="1" applyAlignment="1" applyProtection="1">
      <alignment horizontal="left"/>
      <protection locked="0"/>
    </xf>
    <xf numFmtId="168" fontId="25" fillId="4" borderId="2" xfId="2" applyNumberFormat="1" applyFont="1" applyFill="1" applyBorder="1" applyAlignment="1" applyProtection="1">
      <alignment horizontal="left"/>
      <protection locked="0"/>
    </xf>
    <xf numFmtId="14" fontId="14" fillId="0" borderId="6" xfId="0" applyNumberFormat="1" applyFont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  <protection locked="0"/>
    </xf>
    <xf numFmtId="168" fontId="14" fillId="0" borderId="7" xfId="0" applyNumberFormat="1" applyFont="1" applyBorder="1" applyAlignment="1" applyProtection="1">
      <alignment horizontal="center"/>
      <protection locked="0"/>
    </xf>
    <xf numFmtId="168" fontId="14" fillId="4" borderId="7" xfId="0" applyNumberFormat="1" applyFont="1" applyFill="1" applyBorder="1" applyAlignment="1" applyProtection="1">
      <alignment horizontal="center"/>
      <protection locked="0"/>
    </xf>
    <xf numFmtId="0" fontId="14" fillId="0" borderId="6" xfId="0" applyFont="1" applyBorder="1" applyAlignment="1" applyProtection="1">
      <alignment horizontal="center"/>
      <protection locked="0"/>
    </xf>
    <xf numFmtId="168" fontId="14" fillId="9" borderId="8" xfId="0" applyNumberFormat="1" applyFont="1" applyFill="1" applyBorder="1" applyAlignment="1" applyProtection="1">
      <alignment horizontal="center"/>
      <protection locked="0"/>
    </xf>
    <xf numFmtId="0" fontId="22" fillId="9" borderId="8" xfId="0" applyFont="1" applyFill="1" applyBorder="1" applyAlignment="1" applyProtection="1">
      <alignment horizontal="center"/>
      <protection locked="0"/>
    </xf>
    <xf numFmtId="169" fontId="22" fillId="9" borderId="11" xfId="0" applyNumberFormat="1" applyFont="1" applyFill="1" applyBorder="1" applyAlignment="1" applyProtection="1">
      <alignment horizontal="center"/>
      <protection locked="0"/>
    </xf>
    <xf numFmtId="0" fontId="22" fillId="9" borderId="8" xfId="0" applyFont="1" applyFill="1" applyBorder="1" applyAlignment="1" applyProtection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29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9" fillId="0" borderId="0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indent="3"/>
    </xf>
    <xf numFmtId="0" fontId="5" fillId="4" borderId="0" xfId="0" applyFont="1" applyFill="1" applyBorder="1" applyAlignment="1">
      <alignment horizontal="left" vertical="center" indent="3"/>
    </xf>
    <xf numFmtId="168" fontId="24" fillId="4" borderId="0" xfId="2" applyNumberFormat="1" applyFont="1" applyFill="1" applyAlignment="1">
      <alignment horizontal="center"/>
    </xf>
    <xf numFmtId="0" fontId="24" fillId="4" borderId="0" xfId="2" applyFont="1" applyFill="1" applyAlignment="1">
      <alignment horizontal="center"/>
    </xf>
    <xf numFmtId="0" fontId="27" fillId="0" borderId="0" xfId="0" applyFont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/>
    </xf>
    <xf numFmtId="168" fontId="30" fillId="10" borderId="1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168" fontId="30" fillId="10" borderId="18" xfId="0" applyNumberFormat="1" applyFont="1" applyFill="1" applyBorder="1" applyAlignment="1">
      <alignment horizontal="center"/>
    </xf>
  </cellXfs>
  <cellStyles count="5">
    <cellStyle name="Hiperlink" xfId="3" builtinId="8"/>
    <cellStyle name="Neutro" xfId="2" builtinId="28"/>
    <cellStyle name="Normal" xfId="0" builtinId="0"/>
    <cellStyle name="Porcentagem" xfId="4" builtinId="5"/>
    <cellStyle name="Título 1" xfId="1" builtinId="16"/>
  </cellStyles>
  <dxfs count="28"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5B5B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5B5B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8181"/>
        </patternFill>
      </fill>
    </dxf>
    <dxf>
      <numFmt numFmtId="168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Segoe UI"/>
        <family val="2"/>
        <scheme val="none"/>
      </font>
      <numFmt numFmtId="169" formatCode="\R\$\ #,##0.00"/>
      <fill>
        <patternFill patternType="solid">
          <fgColor indexed="64"/>
          <bgColor rgb="FFFEF0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59996337778862885"/>
        </left>
        <right/>
        <top style="thin">
          <color theme="8" tint="0.59996337778862885"/>
        </top>
        <bottom style="thin">
          <color theme="8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Segoe UI"/>
        <family val="2"/>
        <scheme val="none"/>
      </font>
      <fill>
        <patternFill patternType="solid">
          <fgColor indexed="64"/>
          <bgColor rgb="FFFEF0FA"/>
        </patternFill>
      </fill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Segoe UI"/>
        <family val="2"/>
        <scheme val="none"/>
      </font>
      <fill>
        <patternFill patternType="solid">
          <fgColor indexed="64"/>
          <bgColor rgb="FFFEF0FA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</border>
    </dxf>
    <dxf>
      <border>
        <top style="thin">
          <color theme="8" tint="0.59996337778862885"/>
        </top>
      </border>
    </dxf>
    <dxf>
      <border diagonalUp="0" diagonalDown="0">
        <left style="thin">
          <color rgb="FFF47CD5"/>
        </left>
        <right style="thin">
          <color rgb="FFF47CD5"/>
        </right>
        <top/>
        <bottom style="thin">
          <color rgb="FFF47CD5"/>
        </bottom>
      </border>
    </dxf>
    <dxf>
      <font>
        <strike val="0"/>
        <outline val="0"/>
        <shadow val="0"/>
        <u val="none"/>
        <vertAlign val="baseline"/>
        <sz val="11"/>
        <color theme="8"/>
        <family val="2"/>
      </font>
      <fill>
        <patternFill patternType="solid">
          <fgColor indexed="64"/>
          <bgColor rgb="FFFEF0FA"/>
        </patternFill>
      </fill>
    </dxf>
    <dxf>
      <border>
        <bottom style="thin">
          <color theme="8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EF0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59996337778862885"/>
        </left>
        <right style="thin">
          <color theme="8" tint="0.59996337778862885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8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 style="thin">
          <color theme="8" tint="0.59996337778862885"/>
        </vertical>
        <horizontal style="thin">
          <color theme="8" tint="0.59996337778862885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8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 style="thin">
          <color theme="8" tint="0.59996337778862885"/>
        </vertical>
        <horizontal style="thin">
          <color theme="8" tint="0.59996337778862885"/>
        </horizontal>
      </border>
    </dxf>
    <dxf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</border>
    </dxf>
    <dxf>
      <font>
        <strike val="0"/>
        <outline val="0"/>
        <shadow val="0"/>
        <u val="none"/>
        <vertAlign val="baseline"/>
        <sz val="11"/>
        <color theme="8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8" tint="-0.249977111117893"/>
        <name val="Segoe UI"/>
        <family val="2"/>
        <scheme val="none"/>
      </font>
      <fill>
        <patternFill patternType="solid">
          <fgColor indexed="64"/>
          <bgColor rgb="FFFEF0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6337778862885"/>
        </left>
        <right style="thin">
          <color theme="8" tint="0.59996337778862885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8" tint="0.59996337778862885"/>
        </left>
        <right/>
        <top/>
        <bottom/>
        <vertical style="thin">
          <color theme="8" tint="0.59996337778862885"/>
        </vertical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8" tint="0.59996337778862885"/>
        </left>
        <right style="thin">
          <color theme="8" tint="0.59996337778862885"/>
        </right>
        <top/>
        <bottom/>
        <vertical style="thin">
          <color theme="8" tint="0.59996337778862885"/>
        </vertical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theme="8" tint="0.59996337778862885"/>
        </right>
        <top/>
        <bottom/>
        <vertical style="thin">
          <color theme="8" tint="0.59996337778862885"/>
        </vertical>
        <horizontal/>
      </border>
      <protection locked="0" hidden="0"/>
    </dxf>
    <dxf>
      <border diagonalUp="0" diagonalDown="0">
        <left style="thin">
          <color theme="8" tint="0.59996337778862885"/>
        </left>
        <right style="thin">
          <color theme="8" tint="0.59996337778862885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8" tint="0.59996337778862885"/>
        </left>
        <right style="thin">
          <color theme="8" tint="0.59996337778862885"/>
        </right>
        <top/>
        <bottom/>
        <vertical style="thin">
          <color theme="8" tint="0.59996337778862885"/>
        </vertical>
        <horizontal/>
      </border>
    </dxf>
    <dxf>
      <font>
        <color rgb="FFFBD5F1"/>
      </font>
    </dxf>
  </dxfs>
  <tableStyles count="1" defaultTableStyle="TableStyleMedium2" defaultPivotStyle="PivotStyleLight16">
    <tableStyle name="Estilo de Tabela 1" pivot="0" count="1" xr9:uid="{12FD3E34-EA32-4258-8998-75A7FBF20600}">
      <tableStyleElement type="wholeTable" dxfId="27"/>
    </tableStyle>
  </tableStyles>
  <colors>
    <mruColors>
      <color rgb="FFFEF0FA"/>
      <color rgb="FFB88DE3"/>
      <color rgb="FFFF5B5B"/>
      <color rgb="FFFFA7A7"/>
      <color rgb="FFFF8181"/>
      <color rgb="FFFBD5F1"/>
      <color rgb="FFFFEDB3"/>
      <color rgb="FFFF8F8F"/>
      <color rgb="FFFFDC6D"/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7030A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Distribuição</a:t>
            </a:r>
            <a:r>
              <a:rPr lang="en-US" sz="1200" b="1" baseline="0">
                <a:solidFill>
                  <a:srgbClr val="7030A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dos Saldos Bancários - 2025</a:t>
            </a:r>
            <a:endParaRPr lang="en-US" sz="1200" b="1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TABELAS!$D$1</c:f>
              <c:strCache>
                <c:ptCount val="1"/>
                <c:pt idx="0">
                  <c:v>Coluna1</c:v>
                </c:pt>
              </c:strCache>
            </c:strRef>
          </c:tx>
          <c:spPr>
            <a:solidFill>
              <a:srgbClr val="8F6BE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TABELAS!$C$2:$C$4</c:f>
              <c:strCache>
                <c:ptCount val="3"/>
                <c:pt idx="0">
                  <c:v>184 - Banco Itaú BBA S.A.</c:v>
                </c:pt>
                <c:pt idx="1">
                  <c:v>260 - Nubank</c:v>
                </c:pt>
                <c:pt idx="2">
                  <c:v>1 - Banco do Brasil</c:v>
                </c:pt>
              </c:strCache>
            </c:strRef>
          </c:cat>
          <c:val>
            <c:numRef>
              <c:f>TABELAS!$D$2:$D$4</c:f>
              <c:numCache>
                <c:formatCode>"R$"\ #,##0.00</c:formatCode>
                <c:ptCount val="3"/>
                <c:pt idx="0">
                  <c:v>85000</c:v>
                </c:pt>
                <c:pt idx="1">
                  <c:v>28400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9-415E-AEAD-02B635BA7D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7767344"/>
        <c:axId val="247758224"/>
      </c:barChart>
      <c:catAx>
        <c:axId val="24776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47758224"/>
        <c:crosses val="autoZero"/>
        <c:auto val="1"/>
        <c:lblAlgn val="ctr"/>
        <c:lblOffset val="100"/>
        <c:noMultiLvlLbl val="0"/>
      </c:catAx>
      <c:valAx>
        <c:axId val="24775822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4776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hyperlink" Target="#NOTAS!C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2</xdr:row>
      <xdr:rowOff>190500</xdr:rowOff>
    </xdr:from>
    <xdr:to>
      <xdr:col>0</xdr:col>
      <xdr:colOff>1398270</xdr:colOff>
      <xdr:row>7</xdr:row>
      <xdr:rowOff>22860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E9FDDD8-5353-4DAA-9286-1200C505F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5626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</xdr:colOff>
      <xdr:row>0</xdr:row>
      <xdr:rowOff>0</xdr:rowOff>
    </xdr:from>
    <xdr:to>
      <xdr:col>0</xdr:col>
      <xdr:colOff>1798320</xdr:colOff>
      <xdr:row>3</xdr:row>
      <xdr:rowOff>15240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32DD59E-E370-4B08-A49B-069903D0289F}"/>
            </a:ext>
          </a:extLst>
        </xdr:cNvPr>
        <xdr:cNvSpPr/>
      </xdr:nvSpPr>
      <xdr:spPr>
        <a:xfrm>
          <a:off x="22860" y="0"/>
          <a:ext cx="1775460" cy="563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gradFill flip="none" rotWithShape="1">
                <a:gsLst>
                  <a:gs pos="2010">
                    <a:srgbClr val="FBD5F1">
                      <a:alpha val="65000"/>
                    </a:srgbClr>
                  </a:gs>
                  <a:gs pos="9000">
                    <a:srgbClr val="F47CD5"/>
                  </a:gs>
                  <a:gs pos="44000">
                    <a:srgbClr val="6124E8"/>
                  </a:gs>
                  <a:gs pos="78000">
                    <a:srgbClr val="8E63E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87630</xdr:colOff>
      <xdr:row>9</xdr:row>
      <xdr:rowOff>38100</xdr:rowOff>
    </xdr:from>
    <xdr:to>
      <xdr:col>0</xdr:col>
      <xdr:colOff>1703070</xdr:colOff>
      <xdr:row>11</xdr:row>
      <xdr:rowOff>22860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DA2DE2-2367-466A-9797-682615EEF9FF}"/>
            </a:ext>
          </a:extLst>
        </xdr:cNvPr>
        <xdr:cNvSpPr/>
      </xdr:nvSpPr>
      <xdr:spPr>
        <a:xfrm>
          <a:off x="87630" y="1958340"/>
          <a:ext cx="1615440" cy="411480"/>
        </a:xfrm>
        <a:prstGeom prst="roundRect">
          <a:avLst>
            <a:gd name="adj" fmla="val 50000"/>
          </a:avLst>
        </a:prstGeom>
        <a:gradFill>
          <a:gsLst>
            <a:gs pos="2010">
              <a:srgbClr val="FBD5F1">
                <a:alpha val="60000"/>
              </a:srgbClr>
            </a:gs>
            <a:gs pos="19000">
              <a:srgbClr val="F47CD5">
                <a:alpha val="82000"/>
              </a:srgbClr>
            </a:gs>
            <a:gs pos="49000">
              <a:srgbClr val="8E63EF">
                <a:alpha val="73000"/>
              </a:srgbClr>
            </a:gs>
            <a:gs pos="78000">
              <a:srgbClr val="8D62EF">
                <a:alpha val="71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87630</xdr:colOff>
      <xdr:row>11</xdr:row>
      <xdr:rowOff>171450</xdr:rowOff>
    </xdr:from>
    <xdr:to>
      <xdr:col>0</xdr:col>
      <xdr:colOff>1703070</xdr:colOff>
      <xdr:row>13</xdr:row>
      <xdr:rowOff>156210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2433A3-058F-4055-B30A-283DACF9C87D}"/>
            </a:ext>
          </a:extLst>
        </xdr:cNvPr>
        <xdr:cNvSpPr/>
      </xdr:nvSpPr>
      <xdr:spPr>
        <a:xfrm>
          <a:off x="87630" y="2518410"/>
          <a:ext cx="16154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87630</xdr:colOff>
      <xdr:row>14</xdr:row>
      <xdr:rowOff>91440</xdr:rowOff>
    </xdr:from>
    <xdr:to>
      <xdr:col>0</xdr:col>
      <xdr:colOff>1703070</xdr:colOff>
      <xdr:row>16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60ACB8-EB1A-44EE-A1B3-A598EE7F994E}"/>
            </a:ext>
          </a:extLst>
        </xdr:cNvPr>
        <xdr:cNvSpPr/>
      </xdr:nvSpPr>
      <xdr:spPr>
        <a:xfrm>
          <a:off x="87630" y="3078480"/>
          <a:ext cx="16154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205740</xdr:colOff>
      <xdr:row>19</xdr:row>
      <xdr:rowOff>175260</xdr:rowOff>
    </xdr:from>
    <xdr:to>
      <xdr:col>0</xdr:col>
      <xdr:colOff>1722120</xdr:colOff>
      <xdr:row>21</xdr:row>
      <xdr:rowOff>68580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EC0E358-4EFD-4B26-B8CC-A159FDEA4E60}"/>
            </a:ext>
          </a:extLst>
        </xdr:cNvPr>
        <xdr:cNvSpPr/>
      </xdr:nvSpPr>
      <xdr:spPr>
        <a:xfrm>
          <a:off x="205740" y="4229100"/>
          <a:ext cx="15163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SYSTEM BY LETICIA 💜</a:t>
          </a:r>
        </a:p>
      </xdr:txBody>
    </xdr:sp>
    <xdr:clientData/>
  </xdr:twoCellAnchor>
  <xdr:twoCellAnchor editAs="absolute">
    <xdr:from>
      <xdr:col>0</xdr:col>
      <xdr:colOff>125730</xdr:colOff>
      <xdr:row>19</xdr:row>
      <xdr:rowOff>91440</xdr:rowOff>
    </xdr:from>
    <xdr:to>
      <xdr:col>0</xdr:col>
      <xdr:colOff>1642110</xdr:colOff>
      <xdr:row>19</xdr:row>
      <xdr:rowOff>91440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C011B56-8AE2-4ECD-8BE4-DA21E45098E5}"/>
            </a:ext>
          </a:extLst>
        </xdr:cNvPr>
        <xdr:cNvCxnSpPr/>
      </xdr:nvCxnSpPr>
      <xdr:spPr>
        <a:xfrm>
          <a:off x="125730" y="4145280"/>
          <a:ext cx="1516380" cy="0"/>
        </a:xfrm>
        <a:prstGeom prst="line">
          <a:avLst/>
        </a:prstGeom>
        <a:ln>
          <a:solidFill>
            <a:srgbClr val="8E63E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22860</xdr:colOff>
      <xdr:row>20</xdr:row>
      <xdr:rowOff>152400</xdr:rowOff>
    </xdr:from>
    <xdr:to>
      <xdr:col>4</xdr:col>
      <xdr:colOff>22860</xdr:colOff>
      <xdr:row>22</xdr:row>
      <xdr:rowOff>129540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8137C0-4878-7B2C-A1AA-0C47007A22D8}"/>
            </a:ext>
          </a:extLst>
        </xdr:cNvPr>
        <xdr:cNvSpPr/>
      </xdr:nvSpPr>
      <xdr:spPr>
        <a:xfrm>
          <a:off x="5349240" y="4419600"/>
          <a:ext cx="2971800" cy="342900"/>
        </a:xfrm>
        <a:prstGeom prst="rect">
          <a:avLst/>
        </a:prstGeom>
        <a:solidFill>
          <a:srgbClr val="8E63EF">
            <a:alpha val="91000"/>
          </a:srgb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r>
            <a:rPr lang="pt-B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endParaRPr lang="pt-B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2</xdr:row>
      <xdr:rowOff>190500</xdr:rowOff>
    </xdr:from>
    <xdr:to>
      <xdr:col>0</xdr:col>
      <xdr:colOff>1398270</xdr:colOff>
      <xdr:row>7</xdr:row>
      <xdr:rowOff>22860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DD92317-B205-413E-A489-DA2700AD1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5626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</xdr:colOff>
      <xdr:row>0</xdr:row>
      <xdr:rowOff>0</xdr:rowOff>
    </xdr:from>
    <xdr:to>
      <xdr:col>0</xdr:col>
      <xdr:colOff>1798320</xdr:colOff>
      <xdr:row>3</xdr:row>
      <xdr:rowOff>15240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417C041-9D0D-4C43-948B-8CE2D4C16145}"/>
            </a:ext>
          </a:extLst>
        </xdr:cNvPr>
        <xdr:cNvSpPr/>
      </xdr:nvSpPr>
      <xdr:spPr>
        <a:xfrm>
          <a:off x="22860" y="0"/>
          <a:ext cx="1775460" cy="563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gradFill flip="none" rotWithShape="1">
                <a:gsLst>
                  <a:gs pos="2010">
                    <a:srgbClr val="FBD5F1">
                      <a:alpha val="65000"/>
                    </a:srgbClr>
                  </a:gs>
                  <a:gs pos="9000">
                    <a:srgbClr val="F47CD5"/>
                  </a:gs>
                  <a:gs pos="44000">
                    <a:srgbClr val="6124E8"/>
                  </a:gs>
                  <a:gs pos="78000">
                    <a:srgbClr val="8E63E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87630</xdr:colOff>
      <xdr:row>9</xdr:row>
      <xdr:rowOff>99060</xdr:rowOff>
    </xdr:from>
    <xdr:to>
      <xdr:col>0</xdr:col>
      <xdr:colOff>1703070</xdr:colOff>
      <xdr:row>11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18434B-1BBF-457E-93E9-0746C6D9CD3F}"/>
            </a:ext>
          </a:extLst>
        </xdr:cNvPr>
        <xdr:cNvSpPr/>
      </xdr:nvSpPr>
      <xdr:spPr>
        <a:xfrm>
          <a:off x="87630" y="1958340"/>
          <a:ext cx="16154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87630</xdr:colOff>
      <xdr:row>12</xdr:row>
      <xdr:rowOff>19050</xdr:rowOff>
    </xdr:from>
    <xdr:to>
      <xdr:col>0</xdr:col>
      <xdr:colOff>1703070</xdr:colOff>
      <xdr:row>14</xdr:row>
      <xdr:rowOff>64770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FCCF6E-514C-4AE8-86FE-00CF486479AB}"/>
            </a:ext>
          </a:extLst>
        </xdr:cNvPr>
        <xdr:cNvSpPr/>
      </xdr:nvSpPr>
      <xdr:spPr>
        <a:xfrm>
          <a:off x="87630" y="2518410"/>
          <a:ext cx="1615440" cy="411480"/>
        </a:xfrm>
        <a:prstGeom prst="roundRect">
          <a:avLst>
            <a:gd name="adj" fmla="val 50000"/>
          </a:avLst>
        </a:prstGeom>
        <a:gradFill>
          <a:gsLst>
            <a:gs pos="2010">
              <a:srgbClr val="FBD5F1">
                <a:alpha val="60000"/>
              </a:srgbClr>
            </a:gs>
            <a:gs pos="19000">
              <a:srgbClr val="F47CD5">
                <a:alpha val="82000"/>
              </a:srgbClr>
            </a:gs>
            <a:gs pos="49000">
              <a:srgbClr val="8E63EF">
                <a:alpha val="73000"/>
              </a:srgbClr>
            </a:gs>
            <a:gs pos="78000">
              <a:srgbClr val="8D62EF">
                <a:alpha val="71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87630</xdr:colOff>
      <xdr:row>15</xdr:row>
      <xdr:rowOff>0</xdr:rowOff>
    </xdr:from>
    <xdr:to>
      <xdr:col>0</xdr:col>
      <xdr:colOff>1703070</xdr:colOff>
      <xdr:row>16</xdr:row>
      <xdr:rowOff>198120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62B531-754E-4EC1-A42E-DD264322E16F}"/>
            </a:ext>
          </a:extLst>
        </xdr:cNvPr>
        <xdr:cNvSpPr/>
      </xdr:nvSpPr>
      <xdr:spPr>
        <a:xfrm>
          <a:off x="87630" y="3078480"/>
          <a:ext cx="16154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205740</xdr:colOff>
      <xdr:row>20</xdr:row>
      <xdr:rowOff>144780</xdr:rowOff>
    </xdr:from>
    <xdr:to>
      <xdr:col>0</xdr:col>
      <xdr:colOff>1722120</xdr:colOff>
      <xdr:row>22</xdr:row>
      <xdr:rowOff>7620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5D6BE75-91ED-4837-AE11-9A810F655B6A}"/>
            </a:ext>
          </a:extLst>
        </xdr:cNvPr>
        <xdr:cNvSpPr/>
      </xdr:nvSpPr>
      <xdr:spPr>
        <a:xfrm>
          <a:off x="205740" y="4229100"/>
          <a:ext cx="15163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SYSTEM BY LETICIA 💜</a:t>
          </a:r>
        </a:p>
      </xdr:txBody>
    </xdr:sp>
    <xdr:clientData/>
  </xdr:twoCellAnchor>
  <xdr:twoCellAnchor editAs="absolute">
    <xdr:from>
      <xdr:col>0</xdr:col>
      <xdr:colOff>125730</xdr:colOff>
      <xdr:row>20</xdr:row>
      <xdr:rowOff>60960</xdr:rowOff>
    </xdr:from>
    <xdr:to>
      <xdr:col>0</xdr:col>
      <xdr:colOff>1642110</xdr:colOff>
      <xdr:row>20</xdr:row>
      <xdr:rowOff>60960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48AED39-900B-4D82-9437-3666C46D07FA}"/>
            </a:ext>
          </a:extLst>
        </xdr:cNvPr>
        <xdr:cNvCxnSpPr/>
      </xdr:nvCxnSpPr>
      <xdr:spPr>
        <a:xfrm>
          <a:off x="125730" y="4145280"/>
          <a:ext cx="1516380" cy="0"/>
        </a:xfrm>
        <a:prstGeom prst="line">
          <a:avLst/>
        </a:prstGeom>
        <a:ln>
          <a:solidFill>
            <a:srgbClr val="8E63E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2857500</xdr:colOff>
      <xdr:row>28</xdr:row>
      <xdr:rowOff>99060</xdr:rowOff>
    </xdr:from>
    <xdr:to>
      <xdr:col>3</xdr:col>
      <xdr:colOff>2964180</xdr:colOff>
      <xdr:row>30</xdr:row>
      <xdr:rowOff>76200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DC0CEA-C251-448C-AC9F-046F6694CE1E}"/>
            </a:ext>
          </a:extLst>
        </xdr:cNvPr>
        <xdr:cNvSpPr/>
      </xdr:nvSpPr>
      <xdr:spPr>
        <a:xfrm>
          <a:off x="5318760" y="5798820"/>
          <a:ext cx="2971800" cy="342900"/>
        </a:xfrm>
        <a:prstGeom prst="rect">
          <a:avLst/>
        </a:prstGeom>
        <a:solidFill>
          <a:srgbClr val="8E63EF">
            <a:alpha val="91000"/>
          </a:srgb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PRÓXIMO</a:t>
          </a:r>
          <a:r>
            <a:rPr lang="pt-BR" sz="1100" baseline="0"/>
            <a:t> </a:t>
          </a:r>
          <a:r>
            <a:rPr lang="pt-BR" sz="1400" baseline="0"/>
            <a:t>→</a:t>
          </a:r>
          <a:endParaRPr lang="pt-BR" sz="14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586740</xdr:colOff>
      <xdr:row>28</xdr:row>
      <xdr:rowOff>99060</xdr:rowOff>
    </xdr:from>
    <xdr:to>
      <xdr:col>2</xdr:col>
      <xdr:colOff>2842260</xdr:colOff>
      <xdr:row>30</xdr:row>
      <xdr:rowOff>76200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C4477E-2D6C-4247-A2FD-8862DFD605FA}"/>
            </a:ext>
          </a:extLst>
        </xdr:cNvPr>
        <xdr:cNvSpPr/>
      </xdr:nvSpPr>
      <xdr:spPr>
        <a:xfrm>
          <a:off x="2438400" y="5798820"/>
          <a:ext cx="2865120" cy="342900"/>
        </a:xfrm>
        <a:prstGeom prst="rect">
          <a:avLst/>
        </a:prstGeom>
        <a:solidFill>
          <a:srgbClr val="8E63EF">
            <a:alpha val="91000"/>
          </a:srgb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←</a:t>
          </a:r>
          <a:r>
            <a:rPr lang="pt-BR" sz="1100"/>
            <a:t>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>
    <xdr:from>
      <xdr:col>4</xdr:col>
      <xdr:colOff>579120</xdr:colOff>
      <xdr:row>10</xdr:row>
      <xdr:rowOff>114300</xdr:rowOff>
    </xdr:from>
    <xdr:to>
      <xdr:col>11</xdr:col>
      <xdr:colOff>320040</xdr:colOff>
      <xdr:row>24</xdr:row>
      <xdr:rowOff>22860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6A89A24-9A49-4B24-A42A-722895B34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2</xdr:row>
      <xdr:rowOff>190500</xdr:rowOff>
    </xdr:from>
    <xdr:to>
      <xdr:col>0</xdr:col>
      <xdr:colOff>1398270</xdr:colOff>
      <xdr:row>7</xdr:row>
      <xdr:rowOff>22860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7EC9893-316F-49EE-ABE6-99683BA2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5626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</xdr:colOff>
      <xdr:row>0</xdr:row>
      <xdr:rowOff>0</xdr:rowOff>
    </xdr:from>
    <xdr:to>
      <xdr:col>0</xdr:col>
      <xdr:colOff>1798320</xdr:colOff>
      <xdr:row>3</xdr:row>
      <xdr:rowOff>15240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954ED42-A538-4588-BDD2-4856E3D326ED}"/>
            </a:ext>
          </a:extLst>
        </xdr:cNvPr>
        <xdr:cNvSpPr/>
      </xdr:nvSpPr>
      <xdr:spPr>
        <a:xfrm>
          <a:off x="22860" y="0"/>
          <a:ext cx="1775460" cy="563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gradFill flip="none" rotWithShape="1">
                <a:gsLst>
                  <a:gs pos="2010">
                    <a:srgbClr val="FBD5F1">
                      <a:alpha val="65000"/>
                    </a:srgbClr>
                  </a:gs>
                  <a:gs pos="9000">
                    <a:srgbClr val="F47CD5"/>
                  </a:gs>
                  <a:gs pos="44000">
                    <a:srgbClr val="6124E8"/>
                  </a:gs>
                  <a:gs pos="78000">
                    <a:srgbClr val="8E63E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87630</xdr:colOff>
      <xdr:row>9</xdr:row>
      <xdr:rowOff>62546</xdr:rowOff>
    </xdr:from>
    <xdr:to>
      <xdr:col>0</xdr:col>
      <xdr:colOff>1703070</xdr:colOff>
      <xdr:row>11</xdr:row>
      <xdr:rowOff>47306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7E7E7B-3F69-49F3-865E-ED60F0DAA182}"/>
            </a:ext>
          </a:extLst>
        </xdr:cNvPr>
        <xdr:cNvSpPr/>
      </xdr:nvSpPr>
      <xdr:spPr>
        <a:xfrm>
          <a:off x="87630" y="1958340"/>
          <a:ext cx="16154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87630</xdr:colOff>
      <xdr:row>11</xdr:row>
      <xdr:rowOff>195896</xdr:rowOff>
    </xdr:from>
    <xdr:to>
      <xdr:col>0</xdr:col>
      <xdr:colOff>1703070</xdr:colOff>
      <xdr:row>13</xdr:row>
      <xdr:rowOff>182584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89C9EE-4217-4355-B05B-61E151AA9AB0}"/>
            </a:ext>
          </a:extLst>
        </xdr:cNvPr>
        <xdr:cNvSpPr/>
      </xdr:nvSpPr>
      <xdr:spPr>
        <a:xfrm>
          <a:off x="87630" y="2518410"/>
          <a:ext cx="16154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87630</xdr:colOff>
      <xdr:row>14</xdr:row>
      <xdr:rowOff>118972</xdr:rowOff>
    </xdr:from>
    <xdr:to>
      <xdr:col>0</xdr:col>
      <xdr:colOff>1703070</xdr:colOff>
      <xdr:row>16</xdr:row>
      <xdr:rowOff>107205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3C53CC-08C2-4F5C-81C0-FC33D3047E2F}"/>
            </a:ext>
          </a:extLst>
        </xdr:cNvPr>
        <xdr:cNvSpPr/>
      </xdr:nvSpPr>
      <xdr:spPr>
        <a:xfrm>
          <a:off x="87630" y="3078480"/>
          <a:ext cx="1615440" cy="411480"/>
        </a:xfrm>
        <a:prstGeom prst="roundRect">
          <a:avLst>
            <a:gd name="adj" fmla="val 50000"/>
          </a:avLst>
        </a:prstGeom>
        <a:gradFill>
          <a:gsLst>
            <a:gs pos="2010">
              <a:srgbClr val="FBD5F1">
                <a:alpha val="60000"/>
              </a:srgbClr>
            </a:gs>
            <a:gs pos="19000">
              <a:srgbClr val="F47CD5">
                <a:alpha val="82000"/>
              </a:srgbClr>
            </a:gs>
            <a:gs pos="49000">
              <a:srgbClr val="8E63EF">
                <a:alpha val="73000"/>
              </a:srgbClr>
            </a:gs>
            <a:gs pos="78000">
              <a:srgbClr val="8D62EF">
                <a:alpha val="71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205740</xdr:colOff>
      <xdr:row>20</xdr:row>
      <xdr:rowOff>583</xdr:rowOff>
    </xdr:from>
    <xdr:to>
      <xdr:col>0</xdr:col>
      <xdr:colOff>1684020</xdr:colOff>
      <xdr:row>21</xdr:row>
      <xdr:rowOff>72190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518E0D4-8025-4F74-B9D2-4335325C7DC2}"/>
            </a:ext>
          </a:extLst>
        </xdr:cNvPr>
        <xdr:cNvSpPr/>
      </xdr:nvSpPr>
      <xdr:spPr>
        <a:xfrm>
          <a:off x="205740" y="4229100"/>
          <a:ext cx="14782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SYSTEM BY LETICIA 💜</a:t>
          </a:r>
        </a:p>
      </xdr:txBody>
    </xdr:sp>
    <xdr:clientData/>
  </xdr:twoCellAnchor>
  <xdr:twoCellAnchor editAs="absolute">
    <xdr:from>
      <xdr:col>0</xdr:col>
      <xdr:colOff>121920</xdr:colOff>
      <xdr:row>19</xdr:row>
      <xdr:rowOff>125531</xdr:rowOff>
    </xdr:from>
    <xdr:to>
      <xdr:col>0</xdr:col>
      <xdr:colOff>1638300</xdr:colOff>
      <xdr:row>19</xdr:row>
      <xdr:rowOff>125531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926B02B-9287-4850-BB4E-BB9CA3BA3E11}"/>
            </a:ext>
          </a:extLst>
        </xdr:cNvPr>
        <xdr:cNvCxnSpPr/>
      </xdr:nvCxnSpPr>
      <xdr:spPr>
        <a:xfrm>
          <a:off x="121920" y="4145280"/>
          <a:ext cx="1516380" cy="0"/>
        </a:xfrm>
        <a:prstGeom prst="line">
          <a:avLst/>
        </a:prstGeom>
        <a:ln>
          <a:solidFill>
            <a:srgbClr val="8E63E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2215</xdr:colOff>
      <xdr:row>4</xdr:row>
      <xdr:rowOff>91440</xdr:rowOff>
    </xdr:from>
    <xdr:to>
      <xdr:col>3</xdr:col>
      <xdr:colOff>1863</xdr:colOff>
      <xdr:row>5</xdr:row>
      <xdr:rowOff>160020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D44DCA6-0B59-4597-B5E3-DEDA4E7E292F}"/>
            </a:ext>
          </a:extLst>
        </xdr:cNvPr>
        <xdr:cNvSpPr/>
      </xdr:nvSpPr>
      <xdr:spPr>
        <a:xfrm>
          <a:off x="2461260" y="1005840"/>
          <a:ext cx="1882140" cy="251460"/>
        </a:xfrm>
        <a:prstGeom prst="rect">
          <a:avLst/>
        </a:prstGeom>
        <a:solidFill>
          <a:srgbClr val="8E63EF">
            <a:alpha val="91000"/>
          </a:srgbClr>
        </a:solidFill>
        <a:effectLst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←</a:t>
          </a:r>
          <a:r>
            <a:rPr lang="pt-BR" sz="1000"/>
            <a:t>ANTERIOR</a:t>
          </a:r>
          <a:r>
            <a:rPr lang="pt-BR" sz="1000" baseline="0"/>
            <a:t>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63FF6-8C73-4978-BCCC-49351755E4F1}" name="Tabela1" displayName="Tabela1" ref="C8:E46" totalsRowShown="0" headerRowDxfId="26" dataDxfId="25" tableBorderDxfId="24">
  <autoFilter ref="C8:E46" xr:uid="{86263FF6-8C73-4978-BCCC-49351755E4F1}"/>
  <tableColumns count="3">
    <tableColumn id="1" xr3:uid="{76C2DE11-B459-4C21-9F4E-EA6698ED6275}" name="DATA" dataDxfId="23"/>
    <tableColumn id="2" xr3:uid="{4EC97675-EF0B-41B9-88DD-58E81476E332}" name="CATEGORIA" dataDxfId="22"/>
    <tableColumn id="3" xr3:uid="{116EAB4D-DD3D-4687-8002-73074B36A955}" name="VALOR" dataDxfId="21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20B156-713F-4481-8774-FE79E87CFA07}" name="Tabela3" displayName="Tabela3" ref="G8:H16" totalsRowShown="0" headerRowDxfId="20" dataDxfId="19" tableBorderDxfId="18">
  <autoFilter ref="G8:H16" xr:uid="{DC20B156-713F-4481-8774-FE79E87CFA07}"/>
  <tableColumns count="2">
    <tableColumn id="1" xr3:uid="{5A8E97F1-F754-4DD9-BEAB-3D137491139D}" name="INFORMAÇÃO" dataDxfId="17"/>
    <tableColumn id="2" xr3:uid="{B8983F61-66D6-4D5D-9162-FE9FF1FCFB7B}" name="VALOR 2025" dataDxfId="16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24E36D-C411-4D55-9DC2-EA213D26FEB5}" name="Tabela2" displayName="Tabela2" ref="G20:I25" totalsRowShown="0" headerRowDxfId="15" dataDxfId="13" headerRowBorderDxfId="14" tableBorderDxfId="12" totalsRowBorderDxfId="11">
  <tableColumns count="3">
    <tableColumn id="1" xr3:uid="{EC0B242E-9902-4FF9-BFA9-6649ED2E3FCE}" name="BEM" dataDxfId="10"/>
    <tableColumn id="2" xr3:uid="{A5235558-47C4-420B-A3A9-9E2852DB2532}" name="DESCRIÇÃO" dataDxfId="9"/>
    <tableColumn id="3" xr3:uid="{5172E960-FB6F-4241-9D66-5CE65311774B}" name="VALOR" dataDxfId="8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8306C1-80B4-4EC1-9AAA-592B9D46AA03}" name="Tabela4" displayName="Tabela4" ref="C1:D4" totalsRowShown="0" headerRowDxfId="7">
  <autoFilter ref="C1:D4" xr:uid="{798306C1-80B4-4EC1-9AAA-592B9D46AA03}"/>
  <tableColumns count="2">
    <tableColumn id="1" xr3:uid="{B9C6FEB2-018E-474D-AD41-F3D598B09936}" name="Tabela de apoio"/>
    <tableColumn id="2" xr3:uid="{E3BD2CD5-9249-4E6E-89F9-7818D9C44C3D}" name="Coluna1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exemplo@exemplo.com?subject=Ol&#225;,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0935-C5E6-4136-BD4D-39A1D779D5AE}">
  <sheetPr>
    <pageSetUpPr autoPageBreaks="0"/>
  </sheetPr>
  <dimension ref="A1:H20"/>
  <sheetViews>
    <sheetView showGridLines="0" showRowColHeaders="0" tabSelected="1" zoomScaleNormal="100" workbookViewId="0">
      <selection activeCell="D9" sqref="D9"/>
    </sheetView>
  </sheetViews>
  <sheetFormatPr defaultRowHeight="14.4"/>
  <cols>
    <col min="1" max="1" width="27" style="1" customWidth="1"/>
    <col min="3" max="3" width="41.77734375" customWidth="1"/>
    <col min="4" max="4" width="43.33203125" customWidth="1"/>
    <col min="6" max="6" width="9.109375" customWidth="1"/>
    <col min="7" max="7" width="11.6640625" customWidth="1"/>
    <col min="8" max="8" width="9.6640625" customWidth="1"/>
  </cols>
  <sheetData>
    <row r="1" spans="3:8">
      <c r="D1" s="79"/>
      <c r="E1" s="79"/>
    </row>
    <row r="2" spans="3:8">
      <c r="D2" s="79"/>
      <c r="E2" s="79"/>
    </row>
    <row r="3" spans="3:8" ht="20.399999999999999" thickBot="1">
      <c r="C3" s="2" t="s">
        <v>13</v>
      </c>
      <c r="D3" s="2"/>
      <c r="E3" s="2"/>
      <c r="G3" s="77" t="s">
        <v>116</v>
      </c>
      <c r="H3" s="78"/>
    </row>
    <row r="4" spans="3:8" ht="22.95" customHeight="1" thickTop="1">
      <c r="C4" s="76" t="s">
        <v>14</v>
      </c>
      <c r="D4" s="76"/>
      <c r="E4" s="76"/>
      <c r="G4" s="74" t="str">
        <f>IF(COUNTA(D7:D20)=14,"Informações completas","Existem campos pendentes")</f>
        <v>Informações completas</v>
      </c>
      <c r="H4" s="75"/>
    </row>
    <row r="5" spans="3:8">
      <c r="G5" s="37" t="s">
        <v>113</v>
      </c>
      <c r="H5" s="38">
        <f>COUNTA(D7:D20)/14</f>
        <v>1</v>
      </c>
    </row>
    <row r="7" spans="3:8" ht="16.8">
      <c r="C7" s="4" t="s">
        <v>0</v>
      </c>
      <c r="D7" s="57" t="s">
        <v>114</v>
      </c>
    </row>
    <row r="8" spans="3:8" ht="16.8">
      <c r="C8" s="4" t="s">
        <v>1</v>
      </c>
      <c r="D8" s="58">
        <v>58321476009</v>
      </c>
    </row>
    <row r="9" spans="3:8" ht="16.8">
      <c r="C9" s="4" t="s">
        <v>2</v>
      </c>
      <c r="D9" s="59">
        <v>33712</v>
      </c>
    </row>
    <row r="10" spans="3:8" ht="16.8">
      <c r="C10" s="4" t="s">
        <v>3</v>
      </c>
      <c r="D10" s="57">
        <v>48172936</v>
      </c>
    </row>
    <row r="11" spans="3:8" ht="16.8">
      <c r="C11" s="4" t="s">
        <v>4</v>
      </c>
      <c r="D11" s="57" t="s">
        <v>117</v>
      </c>
    </row>
    <row r="12" spans="3:8" ht="16.8">
      <c r="C12" s="4" t="s">
        <v>5</v>
      </c>
      <c r="D12" s="57" t="s">
        <v>119</v>
      </c>
    </row>
    <row r="13" spans="3:8" ht="16.8">
      <c r="C13" s="4" t="s">
        <v>103</v>
      </c>
      <c r="D13" s="57" t="s">
        <v>120</v>
      </c>
    </row>
    <row r="14" spans="3:8" ht="16.8">
      <c r="C14" s="4" t="s">
        <v>6</v>
      </c>
      <c r="D14" s="60">
        <v>13050410</v>
      </c>
    </row>
    <row r="15" spans="3:8" ht="16.8">
      <c r="C15" s="4" t="s">
        <v>7</v>
      </c>
      <c r="D15" s="61">
        <v>1932547812</v>
      </c>
    </row>
    <row r="16" spans="3:8" ht="16.8">
      <c r="C16" s="4" t="s">
        <v>8</v>
      </c>
      <c r="D16" s="62">
        <v>19998452310</v>
      </c>
    </row>
    <row r="17" spans="3:4" ht="16.8">
      <c r="C17" s="4" t="s">
        <v>9</v>
      </c>
      <c r="D17" s="63" t="s">
        <v>118</v>
      </c>
    </row>
    <row r="18" spans="3:4" ht="16.8">
      <c r="C18" s="4" t="s">
        <v>10</v>
      </c>
      <c r="D18" s="57" t="s">
        <v>115</v>
      </c>
    </row>
    <row r="19" spans="3:4" ht="16.8">
      <c r="C19" s="4" t="s">
        <v>11</v>
      </c>
      <c r="D19" s="57" t="s">
        <v>115</v>
      </c>
    </row>
    <row r="20" spans="3:4" ht="16.8">
      <c r="C20" s="4" t="s">
        <v>12</v>
      </c>
      <c r="D20" s="57" t="s">
        <v>115</v>
      </c>
    </row>
  </sheetData>
  <sheetProtection sheet="1" objects="1" scenarios="1" selectLockedCells="1"/>
  <mergeCells count="5">
    <mergeCell ref="G4:H4"/>
    <mergeCell ref="C4:E4"/>
    <mergeCell ref="G3:H3"/>
    <mergeCell ref="D1:E1"/>
    <mergeCell ref="D2:E2"/>
  </mergeCells>
  <conditionalFormatting sqref="D2:E2">
    <cfRule type="cellIs" dxfId="5" priority="1" operator="equal">
      <formula>"Existem campos pendentes"</formula>
    </cfRule>
    <cfRule type="cellIs" dxfId="4" priority="2" operator="equal">
      <formula>"Informações completas"</formula>
    </cfRule>
  </conditionalFormatting>
  <conditionalFormatting sqref="G4">
    <cfRule type="cellIs" dxfId="3" priority="4" operator="equal">
      <formula>"Existem campos pendentes"</formula>
    </cfRule>
    <cfRule type="cellIs" dxfId="2" priority="5" operator="equal">
      <formula>"Informações completas"</formula>
    </cfRule>
  </conditionalFormatting>
  <dataValidations count="1">
    <dataValidation type="list" allowBlank="1" showInputMessage="1" showErrorMessage="1" sqref="D18:D20" xr:uid="{B9863D42-F184-4AA8-AA17-5EDD834EE674}">
      <formula1>"Sim,Não"</formula1>
    </dataValidation>
  </dataValidations>
  <hyperlinks>
    <hyperlink ref="D17" r:id="rId1" xr:uid="{ADA43408-E940-4822-8DBA-5562C5DEC2F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659-2E39-4A9C-8361-DD85C7D4E5D9}">
  <dimension ref="A3:H27"/>
  <sheetViews>
    <sheetView showGridLines="0" showRowColHeaders="0" workbookViewId="0">
      <selection activeCell="D25" sqref="D25"/>
    </sheetView>
  </sheetViews>
  <sheetFormatPr defaultRowHeight="14.4"/>
  <cols>
    <col min="1" max="1" width="27" style="1" customWidth="1"/>
    <col min="3" max="3" width="41.77734375" customWidth="1"/>
    <col min="4" max="4" width="43.33203125" customWidth="1"/>
    <col min="6" max="6" width="9.109375" customWidth="1"/>
    <col min="7" max="7" width="12.88671875" customWidth="1"/>
    <col min="8" max="8" width="10.109375" customWidth="1"/>
  </cols>
  <sheetData>
    <row r="3" spans="3:8" ht="20.399999999999999" thickBot="1">
      <c r="C3" s="2" t="s">
        <v>15</v>
      </c>
      <c r="D3" s="3"/>
      <c r="E3" s="3"/>
      <c r="G3" s="80"/>
      <c r="H3" s="80"/>
    </row>
    <row r="4" spans="3:8" ht="22.95" customHeight="1" thickTop="1">
      <c r="C4" s="81" t="s">
        <v>16</v>
      </c>
      <c r="D4" s="82"/>
      <c r="E4" s="82"/>
      <c r="G4" s="85"/>
      <c r="H4" s="85"/>
    </row>
    <row r="5" spans="3:8">
      <c r="G5" s="39"/>
      <c r="H5" s="40"/>
    </row>
    <row r="6" spans="3:8" ht="16.8">
      <c r="C6" s="9" t="s">
        <v>74</v>
      </c>
    </row>
    <row r="7" spans="3:8">
      <c r="C7" s="83">
        <f>SUM(D11,D16,D21)</f>
        <v>178400</v>
      </c>
      <c r="D7" s="84"/>
    </row>
    <row r="9" spans="3:8">
      <c r="C9" s="8" t="s">
        <v>71</v>
      </c>
    </row>
    <row r="10" spans="3:8" ht="16.8">
      <c r="C10" s="4" t="s">
        <v>17</v>
      </c>
      <c r="D10" s="57" t="s">
        <v>25</v>
      </c>
      <c r="H10" s="34"/>
    </row>
    <row r="11" spans="3:8" ht="16.8">
      <c r="C11" s="4" t="s">
        <v>18</v>
      </c>
      <c r="D11" s="64">
        <v>85000</v>
      </c>
      <c r="H11" s="34"/>
    </row>
    <row r="12" spans="3:8" ht="16.8">
      <c r="C12" s="4" t="s">
        <v>19</v>
      </c>
      <c r="D12" s="57" t="s">
        <v>122</v>
      </c>
      <c r="H12" s="34"/>
    </row>
    <row r="14" spans="3:8">
      <c r="C14" s="8" t="s">
        <v>72</v>
      </c>
      <c r="D14" s="5"/>
    </row>
    <row r="15" spans="3:8" ht="16.8">
      <c r="C15" s="4" t="s">
        <v>17</v>
      </c>
      <c r="D15" s="57" t="s">
        <v>35</v>
      </c>
    </row>
    <row r="16" spans="3:8" ht="16.8">
      <c r="C16" s="4" t="s">
        <v>18</v>
      </c>
      <c r="D16" s="64">
        <v>28400</v>
      </c>
    </row>
    <row r="17" spans="3:4" ht="16.8">
      <c r="C17" s="4" t="s">
        <v>19</v>
      </c>
      <c r="D17" s="57" t="s">
        <v>123</v>
      </c>
    </row>
    <row r="19" spans="3:4">
      <c r="C19" s="8" t="s">
        <v>73</v>
      </c>
      <c r="D19" s="5"/>
    </row>
    <row r="20" spans="3:4" ht="16.8">
      <c r="C20" s="4" t="s">
        <v>17</v>
      </c>
      <c r="D20" s="57" t="s">
        <v>21</v>
      </c>
    </row>
    <row r="21" spans="3:4" ht="16.8">
      <c r="C21" s="4" t="s">
        <v>18</v>
      </c>
      <c r="D21" s="64">
        <v>65000</v>
      </c>
    </row>
    <row r="22" spans="3:4" ht="16.8">
      <c r="C22" s="4" t="s">
        <v>19</v>
      </c>
      <c r="D22" s="57" t="s">
        <v>124</v>
      </c>
    </row>
    <row r="24" spans="3:4">
      <c r="C24" s="8" t="s">
        <v>111</v>
      </c>
      <c r="D24" s="5"/>
    </row>
    <row r="25" spans="3:4" ht="16.8">
      <c r="C25" s="4" t="s">
        <v>112</v>
      </c>
      <c r="D25" s="57" t="s">
        <v>110</v>
      </c>
    </row>
    <row r="26" spans="3:4" ht="16.8">
      <c r="C26" s="4" t="s">
        <v>79</v>
      </c>
      <c r="D26" s="64">
        <v>25000</v>
      </c>
    </row>
    <row r="27" spans="3:4" ht="16.8">
      <c r="C27" s="4" t="s">
        <v>19</v>
      </c>
      <c r="D27" s="64" t="s">
        <v>126</v>
      </c>
    </row>
  </sheetData>
  <sheetProtection sheet="1" objects="1" scenarios="1" selectLockedCells="1"/>
  <mergeCells count="4">
    <mergeCell ref="G3:H3"/>
    <mergeCell ref="C4:E4"/>
    <mergeCell ref="C7:D7"/>
    <mergeCell ref="G4:H4"/>
  </mergeCells>
  <conditionalFormatting sqref="G4">
    <cfRule type="cellIs" dxfId="1" priority="1" operator="equal">
      <formula>"Existem campos pendentes"</formula>
    </cfRule>
    <cfRule type="cellIs" dxfId="0" priority="2" operator="equal">
      <formula>"Informações completas"</formula>
    </cfRule>
  </conditionalFormatting>
  <dataValidations xWindow="452" yWindow="640" count="1">
    <dataValidation type="list" allowBlank="1" showInputMessage="1" showErrorMessage="1" errorTitle="Informe o tipo de investimento" error="Informe um tipo de investimento da lista" promptTitle="Informe o tipo de investimento" prompt="Informe o tipo de investimento vinculado ao seu CPF" sqref="D25" xr:uid="{099499DD-C667-4240-B2F4-6C5F85FA59C7}">
      <formula1>"CDB,Tesouro Direto,LCI/LCA,Fundo de Investimento"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452" yWindow="640" count="1">
        <x14:dataValidation type="list" allowBlank="1" showInputMessage="1" showErrorMessage="1" errorTitle="Banco não encontrado" error="Informe um banco da lista" promptTitle="Informe um banco" prompt="Informe um banco vinculado ao seu CPF" xr:uid="{55036B3D-3209-4F13-9756-538DC33454A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F1C9-38AE-4F5D-9650-69631488F59B}">
  <dimension ref="A3:O85"/>
  <sheetViews>
    <sheetView showGridLines="0" showRowColHeaders="0" zoomScaleNormal="100" workbookViewId="0">
      <selection activeCell="I22" sqref="I22"/>
    </sheetView>
  </sheetViews>
  <sheetFormatPr defaultRowHeight="14.4"/>
  <cols>
    <col min="1" max="1" width="27" style="1" customWidth="1"/>
    <col min="3" max="5" width="27.44140625" customWidth="1"/>
    <col min="7" max="7" width="36.5546875" customWidth="1"/>
    <col min="8" max="8" width="44.44140625" customWidth="1"/>
    <col min="9" max="9" width="17.33203125" bestFit="1" customWidth="1"/>
    <col min="10" max="10" width="8" bestFit="1" customWidth="1"/>
  </cols>
  <sheetData>
    <row r="3" spans="3:15" ht="20.399999999999999" thickBot="1">
      <c r="C3" s="2" t="s">
        <v>75</v>
      </c>
      <c r="D3" s="3"/>
      <c r="E3" s="3"/>
    </row>
    <row r="4" spans="3:15" ht="22.95" customHeight="1" thickTop="1">
      <c r="C4" s="81" t="s">
        <v>76</v>
      </c>
      <c r="D4" s="82"/>
      <c r="E4" s="82"/>
    </row>
    <row r="7" spans="3:15" ht="16.8">
      <c r="C7" s="88" t="s">
        <v>80</v>
      </c>
      <c r="D7" s="89"/>
      <c r="E7" s="89"/>
      <c r="G7" s="90" t="s">
        <v>100</v>
      </c>
      <c r="H7" s="90"/>
      <c r="I7" s="27"/>
      <c r="J7" s="14"/>
      <c r="K7" s="16"/>
      <c r="L7" s="16"/>
      <c r="M7" s="16"/>
      <c r="N7" s="16"/>
      <c r="O7" s="16"/>
    </row>
    <row r="8" spans="3:15" ht="15">
      <c r="C8" s="11" t="s">
        <v>77</v>
      </c>
      <c r="D8" s="12" t="s">
        <v>78</v>
      </c>
      <c r="E8" s="13" t="s">
        <v>79</v>
      </c>
      <c r="G8" s="53" t="s">
        <v>104</v>
      </c>
      <c r="H8" s="54" t="s">
        <v>121</v>
      </c>
      <c r="I8" s="24"/>
      <c r="J8" s="14"/>
      <c r="K8" s="16"/>
      <c r="L8" s="16"/>
      <c r="M8" s="16"/>
      <c r="N8" s="16"/>
      <c r="O8" s="16"/>
    </row>
    <row r="9" spans="3:15" ht="16.8">
      <c r="C9" s="65">
        <v>45662</v>
      </c>
      <c r="D9" s="66" t="s">
        <v>82</v>
      </c>
      <c r="E9" s="67">
        <v>4200</v>
      </c>
      <c r="G9" s="52" t="s">
        <v>86</v>
      </c>
      <c r="H9" s="70">
        <v>4000</v>
      </c>
      <c r="I9" s="26"/>
      <c r="J9" s="15"/>
      <c r="K9" s="17"/>
      <c r="L9" s="17"/>
      <c r="M9" s="17"/>
      <c r="N9" s="17"/>
      <c r="O9" s="17"/>
    </row>
    <row r="10" spans="3:15" ht="16.8">
      <c r="C10" s="65">
        <v>45662</v>
      </c>
      <c r="D10" s="66" t="s">
        <v>83</v>
      </c>
      <c r="E10" s="67">
        <v>450</v>
      </c>
      <c r="G10" s="52" t="s">
        <v>87</v>
      </c>
      <c r="H10" s="70">
        <v>3600</v>
      </c>
      <c r="I10" s="26"/>
      <c r="J10" s="17"/>
    </row>
    <row r="11" spans="3:15" ht="16.8">
      <c r="C11" s="65">
        <v>45693</v>
      </c>
      <c r="D11" s="66" t="s">
        <v>81</v>
      </c>
      <c r="E11" s="68">
        <v>4200</v>
      </c>
      <c r="G11" s="52" t="s">
        <v>88</v>
      </c>
      <c r="H11" s="70">
        <v>2500</v>
      </c>
      <c r="I11" s="26"/>
      <c r="J11" s="17"/>
    </row>
    <row r="12" spans="3:15" ht="16.8">
      <c r="C12" s="65">
        <v>45693</v>
      </c>
      <c r="D12" s="66" t="s">
        <v>83</v>
      </c>
      <c r="E12" s="67">
        <v>300</v>
      </c>
      <c r="G12" s="52" t="s">
        <v>89</v>
      </c>
      <c r="H12" s="70">
        <v>5040</v>
      </c>
      <c r="I12" s="26"/>
      <c r="J12" s="17"/>
    </row>
    <row r="13" spans="3:15" ht="16.8">
      <c r="C13" s="65">
        <v>45721</v>
      </c>
      <c r="D13" s="66" t="s">
        <v>81</v>
      </c>
      <c r="E13" s="67">
        <v>4200</v>
      </c>
      <c r="G13" s="52" t="s">
        <v>90</v>
      </c>
      <c r="H13" s="70">
        <v>2000</v>
      </c>
      <c r="I13" s="26"/>
      <c r="J13" s="18"/>
    </row>
    <row r="14" spans="3:15" ht="16.8">
      <c r="C14" s="65">
        <v>45721</v>
      </c>
      <c r="D14" s="66" t="s">
        <v>83</v>
      </c>
      <c r="E14" s="67">
        <v>500</v>
      </c>
      <c r="G14" s="52" t="s">
        <v>91</v>
      </c>
      <c r="H14" s="70">
        <v>1200</v>
      </c>
      <c r="I14" s="26"/>
      <c r="J14" s="17"/>
    </row>
    <row r="15" spans="3:15" ht="16.8">
      <c r="C15" s="65">
        <v>45736</v>
      </c>
      <c r="D15" s="66" t="s">
        <v>82</v>
      </c>
      <c r="E15" s="67">
        <v>750</v>
      </c>
      <c r="G15" s="52" t="s">
        <v>92</v>
      </c>
      <c r="H15" s="70">
        <v>0</v>
      </c>
      <c r="I15" s="26"/>
      <c r="J15" s="17"/>
    </row>
    <row r="16" spans="3:15" ht="16.8">
      <c r="C16" s="65">
        <v>45752</v>
      </c>
      <c r="D16" s="66" t="s">
        <v>81</v>
      </c>
      <c r="E16" s="67">
        <v>4200</v>
      </c>
      <c r="G16" s="52" t="s">
        <v>93</v>
      </c>
      <c r="H16" s="70">
        <v>0</v>
      </c>
      <c r="I16" s="26"/>
      <c r="J16" s="17"/>
    </row>
    <row r="17" spans="3:10" ht="16.8">
      <c r="C17" s="65">
        <v>45752</v>
      </c>
      <c r="D17" s="66" t="s">
        <v>83</v>
      </c>
      <c r="E17" s="67">
        <v>350</v>
      </c>
      <c r="G17" s="50"/>
      <c r="H17" s="51"/>
      <c r="I17" s="26"/>
      <c r="J17" s="17"/>
    </row>
    <row r="18" spans="3:10" ht="16.8">
      <c r="C18" s="65">
        <v>45782</v>
      </c>
      <c r="D18" s="66" t="s">
        <v>81</v>
      </c>
      <c r="E18" s="67">
        <v>4200</v>
      </c>
      <c r="J18" s="17"/>
    </row>
    <row r="19" spans="3:10" ht="16.8">
      <c r="C19" s="65">
        <v>45782</v>
      </c>
      <c r="D19" s="66" t="s">
        <v>83</v>
      </c>
      <c r="E19" s="67">
        <v>600</v>
      </c>
      <c r="G19" s="86" t="s">
        <v>125</v>
      </c>
      <c r="H19" s="91"/>
      <c r="I19" s="87"/>
      <c r="J19" s="18"/>
    </row>
    <row r="20" spans="3:10" ht="16.8">
      <c r="C20" s="65">
        <v>45813</v>
      </c>
      <c r="D20" s="66" t="s">
        <v>81</v>
      </c>
      <c r="E20" s="67">
        <v>4200</v>
      </c>
      <c r="G20" s="55" t="s">
        <v>105</v>
      </c>
      <c r="H20" s="55" t="s">
        <v>94</v>
      </c>
      <c r="I20" s="55" t="s">
        <v>79</v>
      </c>
      <c r="J20" s="17"/>
    </row>
    <row r="21" spans="3:10" ht="16.8">
      <c r="C21" s="65">
        <v>45813</v>
      </c>
      <c r="D21" s="66" t="s">
        <v>83</v>
      </c>
      <c r="E21" s="67">
        <v>400</v>
      </c>
      <c r="G21" s="56" t="s">
        <v>95</v>
      </c>
      <c r="H21" s="45" t="s">
        <v>106</v>
      </c>
      <c r="I21" s="46">
        <f>INFORMES!$D$11+INFORMES!$D$16+INFORMES!$D$21</f>
        <v>178400</v>
      </c>
      <c r="J21" s="17"/>
    </row>
    <row r="22" spans="3:10" ht="16.8">
      <c r="C22" s="65">
        <v>45828</v>
      </c>
      <c r="D22" s="66" t="s">
        <v>82</v>
      </c>
      <c r="E22" s="67">
        <v>900</v>
      </c>
      <c r="G22" s="56" t="s">
        <v>96</v>
      </c>
      <c r="H22" s="71" t="s">
        <v>97</v>
      </c>
      <c r="I22" s="72">
        <v>78000</v>
      </c>
      <c r="J22" s="17"/>
    </row>
    <row r="23" spans="3:10" ht="16.8">
      <c r="C23" s="65">
        <v>45843</v>
      </c>
      <c r="D23" s="66" t="s">
        <v>81</v>
      </c>
      <c r="E23" s="67">
        <v>4200</v>
      </c>
      <c r="G23" s="56" t="s">
        <v>98</v>
      </c>
      <c r="H23" s="73" t="str">
        <f>INFORMES!D25</f>
        <v>CDB</v>
      </c>
      <c r="I23" s="46">
        <f>[0]!valor_investimento</f>
        <v>25000</v>
      </c>
      <c r="J23" s="17"/>
    </row>
    <row r="24" spans="3:10" ht="16.8">
      <c r="C24" s="65">
        <v>45843</v>
      </c>
      <c r="D24" s="66" t="s">
        <v>83</v>
      </c>
      <c r="E24" s="67">
        <v>300</v>
      </c>
      <c r="G24" s="47"/>
      <c r="H24" s="48"/>
      <c r="I24" s="49"/>
      <c r="J24" s="17"/>
    </row>
    <row r="25" spans="3:10" ht="16.8">
      <c r="C25" s="65">
        <v>45874</v>
      </c>
      <c r="D25" s="66" t="s">
        <v>81</v>
      </c>
      <c r="E25" s="67">
        <v>4200</v>
      </c>
      <c r="G25" s="42" t="s">
        <v>99</v>
      </c>
      <c r="H25" s="43"/>
      <c r="I25" s="44">
        <f>SUM(I21:I24)</f>
        <v>281400</v>
      </c>
      <c r="J25" s="17"/>
    </row>
    <row r="26" spans="3:10" ht="16.8">
      <c r="C26" s="65">
        <v>45874</v>
      </c>
      <c r="D26" s="66" t="s">
        <v>83</v>
      </c>
      <c r="E26" s="67">
        <v>550</v>
      </c>
      <c r="J26" s="18"/>
    </row>
    <row r="27" spans="3:10" ht="16.8">
      <c r="C27" s="65">
        <v>45905</v>
      </c>
      <c r="D27" s="66" t="s">
        <v>81</v>
      </c>
      <c r="E27" s="67">
        <v>4200</v>
      </c>
      <c r="G27" s="30"/>
      <c r="H27" s="30"/>
      <c r="I27" s="30"/>
      <c r="J27" s="17"/>
    </row>
    <row r="28" spans="3:10" ht="16.8">
      <c r="C28" s="65">
        <v>45905</v>
      </c>
      <c r="D28" s="66" t="s">
        <v>83</v>
      </c>
      <c r="E28" s="67">
        <v>450</v>
      </c>
      <c r="G28" s="86" t="s">
        <v>127</v>
      </c>
      <c r="H28" s="87"/>
      <c r="I28" s="33"/>
      <c r="J28" s="20"/>
    </row>
    <row r="29" spans="3:10" ht="16.8">
      <c r="C29" s="65">
        <v>45920</v>
      </c>
      <c r="D29" s="66" t="s">
        <v>82</v>
      </c>
      <c r="E29" s="67">
        <v>800</v>
      </c>
      <c r="G29" s="41" t="s">
        <v>107</v>
      </c>
      <c r="H29" s="36">
        <f>SUM(Tabela1[VALOR])</f>
        <v>63150</v>
      </c>
      <c r="I29" s="32"/>
      <c r="J29" s="20"/>
    </row>
    <row r="30" spans="3:10" ht="16.8">
      <c r="C30" s="65">
        <v>45935</v>
      </c>
      <c r="D30" s="66" t="s">
        <v>81</v>
      </c>
      <c r="E30" s="67">
        <v>4200</v>
      </c>
      <c r="G30" s="41" t="s">
        <v>108</v>
      </c>
      <c r="H30" s="36">
        <f>I25</f>
        <v>281400</v>
      </c>
      <c r="I30" s="31"/>
      <c r="J30" s="17"/>
    </row>
    <row r="31" spans="3:10" ht="16.8">
      <c r="C31" s="65">
        <v>45935</v>
      </c>
      <c r="D31" s="66" t="s">
        <v>83</v>
      </c>
      <c r="E31" s="67">
        <v>350</v>
      </c>
      <c r="G31" s="41" t="s">
        <v>109</v>
      </c>
      <c r="H31" s="36">
        <v>0</v>
      </c>
      <c r="I31" s="5"/>
      <c r="J31" s="17"/>
    </row>
    <row r="32" spans="3:10" ht="16.8">
      <c r="C32" s="65">
        <v>45966</v>
      </c>
      <c r="D32" s="66" t="s">
        <v>81</v>
      </c>
      <c r="E32" s="67">
        <v>4200</v>
      </c>
      <c r="J32" s="18"/>
    </row>
    <row r="33" spans="3:10" ht="16.8">
      <c r="C33" s="65">
        <v>45966</v>
      </c>
      <c r="D33" s="66" t="s">
        <v>83</v>
      </c>
      <c r="E33" s="67">
        <v>500</v>
      </c>
      <c r="J33" s="17"/>
    </row>
    <row r="34" spans="3:10" ht="16.8">
      <c r="C34" s="65">
        <v>45991</v>
      </c>
      <c r="D34" s="66" t="s">
        <v>84</v>
      </c>
      <c r="E34" s="67">
        <v>2100</v>
      </c>
      <c r="J34" s="17"/>
    </row>
    <row r="35" spans="3:10" ht="16.8">
      <c r="C35" s="65">
        <v>45996</v>
      </c>
      <c r="D35" s="66" t="s">
        <v>81</v>
      </c>
      <c r="E35" s="67">
        <v>4200</v>
      </c>
      <c r="J35" s="17"/>
    </row>
    <row r="36" spans="3:10" ht="16.8">
      <c r="C36" s="65">
        <v>45996</v>
      </c>
      <c r="D36" s="66" t="s">
        <v>83</v>
      </c>
      <c r="E36" s="67">
        <v>700</v>
      </c>
      <c r="G36" s="29"/>
      <c r="H36" s="28"/>
      <c r="I36" s="23"/>
      <c r="J36" s="17"/>
    </row>
    <row r="37" spans="3:10" ht="16.8">
      <c r="C37" s="65">
        <v>46011</v>
      </c>
      <c r="D37" s="66" t="s">
        <v>82</v>
      </c>
      <c r="E37" s="67">
        <v>1000</v>
      </c>
      <c r="G37" s="19"/>
      <c r="H37" s="25"/>
      <c r="I37" s="26"/>
      <c r="J37" s="17"/>
    </row>
    <row r="38" spans="3:10" ht="16.8">
      <c r="C38" s="65">
        <v>46011</v>
      </c>
      <c r="D38" s="66" t="s">
        <v>85</v>
      </c>
      <c r="E38" s="67">
        <v>1750</v>
      </c>
      <c r="G38" s="19"/>
      <c r="H38" s="25"/>
      <c r="I38" s="26"/>
      <c r="J38" s="17"/>
    </row>
    <row r="39" spans="3:10" ht="16.8">
      <c r="C39" s="69"/>
      <c r="D39" s="66"/>
      <c r="E39" s="67"/>
      <c r="G39" s="19"/>
      <c r="H39" s="25"/>
      <c r="I39" s="26"/>
      <c r="J39" s="18"/>
    </row>
    <row r="40" spans="3:10" ht="16.8">
      <c r="C40" s="69"/>
      <c r="D40" s="66"/>
      <c r="E40" s="67"/>
      <c r="G40" s="19"/>
      <c r="H40" s="25"/>
      <c r="I40" s="26"/>
      <c r="J40" s="17"/>
    </row>
    <row r="41" spans="3:10" ht="16.8">
      <c r="C41" s="69"/>
      <c r="D41" s="66"/>
      <c r="E41" s="67"/>
      <c r="G41" s="19"/>
      <c r="H41" s="25"/>
      <c r="I41" s="26"/>
      <c r="J41" s="17"/>
    </row>
    <row r="42" spans="3:10" ht="16.8">
      <c r="C42" s="69"/>
      <c r="D42" s="66"/>
      <c r="E42" s="67"/>
      <c r="G42" s="19"/>
      <c r="H42" s="25"/>
      <c r="I42" s="26"/>
      <c r="J42" s="17"/>
    </row>
    <row r="43" spans="3:10" ht="16.8">
      <c r="C43" s="69"/>
      <c r="D43" s="66"/>
      <c r="E43" s="67"/>
      <c r="G43" s="19"/>
      <c r="H43" s="25"/>
      <c r="I43" s="26"/>
      <c r="J43" s="17"/>
    </row>
    <row r="44" spans="3:10" ht="16.8">
      <c r="C44" s="69"/>
      <c r="D44" s="66"/>
      <c r="E44" s="67"/>
      <c r="G44" s="19"/>
      <c r="H44" s="25"/>
      <c r="I44" s="26"/>
      <c r="J44" s="17"/>
    </row>
    <row r="45" spans="3:10" ht="16.8">
      <c r="C45" s="69"/>
      <c r="D45" s="66"/>
      <c r="E45" s="67"/>
      <c r="G45" s="19"/>
      <c r="H45" s="25"/>
      <c r="I45" s="26"/>
      <c r="J45" s="18"/>
    </row>
    <row r="46" spans="3:10" ht="16.8">
      <c r="C46" s="69"/>
      <c r="D46" s="66"/>
      <c r="E46" s="67"/>
      <c r="G46" s="19"/>
      <c r="H46" s="25"/>
      <c r="I46" s="26"/>
      <c r="J46" s="17"/>
    </row>
    <row r="47" spans="3:10" ht="16.8">
      <c r="C47" s="10"/>
      <c r="D47" s="10"/>
      <c r="E47" s="10"/>
      <c r="G47" s="19"/>
      <c r="H47" s="25"/>
      <c r="I47" s="26"/>
      <c r="J47" s="17"/>
    </row>
    <row r="48" spans="3:10">
      <c r="G48" s="19"/>
      <c r="H48" s="25"/>
      <c r="I48" s="26"/>
      <c r="J48" s="17"/>
    </row>
    <row r="49" spans="7:10">
      <c r="G49" s="19"/>
      <c r="H49" s="25"/>
      <c r="I49" s="26"/>
      <c r="J49" s="17"/>
    </row>
    <row r="50" spans="7:10">
      <c r="G50" s="19"/>
      <c r="H50" s="25"/>
      <c r="I50" s="26"/>
      <c r="J50" s="17"/>
    </row>
    <row r="51" spans="7:10">
      <c r="G51" s="19"/>
      <c r="H51" s="25"/>
      <c r="I51" s="26"/>
      <c r="J51" s="17"/>
    </row>
    <row r="52" spans="7:10">
      <c r="G52" s="19"/>
      <c r="H52" s="25"/>
      <c r="I52" s="26"/>
      <c r="J52" s="18"/>
    </row>
    <row r="53" spans="7:10">
      <c r="G53" s="19"/>
      <c r="H53" s="25"/>
      <c r="I53" s="26"/>
      <c r="J53" s="17"/>
    </row>
    <row r="54" spans="7:10">
      <c r="G54" s="19"/>
      <c r="H54" s="25"/>
      <c r="I54" s="26"/>
      <c r="J54" s="17"/>
    </row>
    <row r="55" spans="7:10">
      <c r="G55" s="19"/>
      <c r="H55" s="25"/>
      <c r="I55" s="26"/>
      <c r="J55" s="17"/>
    </row>
    <row r="56" spans="7:10">
      <c r="G56" s="19"/>
      <c r="H56" s="25"/>
      <c r="I56" s="26"/>
      <c r="J56" s="17"/>
    </row>
    <row r="57" spans="7:10">
      <c r="G57" s="19"/>
      <c r="H57" s="25"/>
      <c r="I57" s="26"/>
      <c r="J57" s="17"/>
    </row>
    <row r="58" spans="7:10">
      <c r="G58" s="19"/>
      <c r="H58" s="25"/>
      <c r="I58" s="26"/>
      <c r="J58" s="18"/>
    </row>
    <row r="59" spans="7:10">
      <c r="G59" s="19"/>
      <c r="H59" s="25"/>
      <c r="I59" s="26"/>
      <c r="J59" s="17"/>
    </row>
    <row r="60" spans="7:10">
      <c r="G60" s="19"/>
      <c r="H60" s="25"/>
      <c r="I60" s="26"/>
      <c r="J60" s="17"/>
    </row>
    <row r="61" spans="7:10">
      <c r="G61" s="19"/>
      <c r="H61" s="25"/>
      <c r="I61" s="26"/>
      <c r="J61" s="17"/>
    </row>
    <row r="62" spans="7:10">
      <c r="G62" s="19"/>
      <c r="H62" s="25"/>
      <c r="I62" s="26"/>
      <c r="J62" s="17"/>
    </row>
    <row r="63" spans="7:10">
      <c r="G63" s="19"/>
      <c r="H63" s="25"/>
      <c r="I63" s="26"/>
      <c r="J63" s="17"/>
    </row>
    <row r="64" spans="7:10">
      <c r="G64" s="19"/>
      <c r="H64" s="25"/>
      <c r="I64" s="26"/>
      <c r="J64" s="17"/>
    </row>
    <row r="65" spans="7:10">
      <c r="G65" s="19"/>
      <c r="H65" s="25"/>
      <c r="I65" s="26"/>
      <c r="J65" s="18"/>
    </row>
    <row r="66" spans="7:10">
      <c r="G66" s="19"/>
      <c r="H66" s="25"/>
      <c r="I66" s="26"/>
      <c r="J66" s="17"/>
    </row>
    <row r="67" spans="7:10">
      <c r="G67" s="19"/>
      <c r="H67" s="25"/>
      <c r="I67" s="26"/>
      <c r="J67" s="17"/>
    </row>
    <row r="68" spans="7:10">
      <c r="G68" s="19"/>
      <c r="H68" s="25"/>
      <c r="I68" s="26"/>
      <c r="J68" s="17"/>
    </row>
    <row r="69" spans="7:10">
      <c r="G69" s="19"/>
      <c r="H69" s="25"/>
      <c r="I69" s="26"/>
      <c r="J69" s="17"/>
    </row>
    <row r="70" spans="7:10">
      <c r="G70" s="19"/>
      <c r="H70" s="25"/>
      <c r="I70" s="26"/>
      <c r="J70" s="17"/>
    </row>
    <row r="71" spans="7:10">
      <c r="G71" s="19"/>
      <c r="H71" s="25"/>
      <c r="I71" s="26"/>
      <c r="J71" s="18"/>
    </row>
    <row r="72" spans="7:10">
      <c r="G72" s="19"/>
      <c r="H72" s="25"/>
      <c r="I72" s="26"/>
      <c r="J72" s="17"/>
    </row>
    <row r="73" spans="7:10">
      <c r="G73" s="19"/>
      <c r="H73" s="25"/>
      <c r="I73" s="26"/>
      <c r="J73" s="17"/>
    </row>
    <row r="74" spans="7:10">
      <c r="G74" s="19"/>
      <c r="H74" s="19"/>
      <c r="I74" s="20"/>
      <c r="J74" s="17"/>
    </row>
    <row r="75" spans="7:10">
      <c r="G75" s="19"/>
      <c r="H75" s="19"/>
      <c r="I75" s="20"/>
      <c r="J75" s="17"/>
    </row>
    <row r="76" spans="7:10">
      <c r="G76" s="19"/>
      <c r="H76" s="19"/>
      <c r="I76" s="20"/>
      <c r="J76" s="17"/>
    </row>
    <row r="77" spans="7:10">
      <c r="G77" s="19"/>
      <c r="H77" s="19"/>
      <c r="I77" s="20"/>
      <c r="J77" s="17"/>
    </row>
    <row r="78" spans="7:10">
      <c r="G78" s="19"/>
      <c r="H78" s="19"/>
      <c r="I78" s="20"/>
      <c r="J78" s="18"/>
    </row>
    <row r="79" spans="7:10">
      <c r="G79" s="21"/>
      <c r="H79" s="21"/>
      <c r="I79" s="22"/>
      <c r="J79" s="17"/>
    </row>
    <row r="80" spans="7:10">
      <c r="G80" s="19"/>
      <c r="H80" s="19"/>
      <c r="I80" s="20"/>
      <c r="J80" s="17"/>
    </row>
    <row r="81" spans="7:10">
      <c r="G81" s="19"/>
      <c r="H81" s="19"/>
      <c r="I81" s="20"/>
      <c r="J81" s="17"/>
    </row>
    <row r="82" spans="7:10">
      <c r="G82" s="19"/>
      <c r="H82" s="19"/>
      <c r="I82" s="20"/>
      <c r="J82" s="17"/>
    </row>
    <row r="83" spans="7:10">
      <c r="G83" s="19"/>
      <c r="H83" s="19"/>
      <c r="I83" s="20"/>
      <c r="J83" s="17"/>
    </row>
    <row r="84" spans="7:10">
      <c r="G84" s="19"/>
      <c r="H84" s="19"/>
      <c r="I84" s="20"/>
      <c r="J84" s="18"/>
    </row>
    <row r="85" spans="7:10">
      <c r="G85" s="23"/>
      <c r="H85" s="23"/>
      <c r="I85" s="23"/>
    </row>
  </sheetData>
  <sheetProtection sheet="1" objects="1" scenarios="1" selectLockedCells="1"/>
  <mergeCells count="5">
    <mergeCell ref="G28:H28"/>
    <mergeCell ref="C4:E4"/>
    <mergeCell ref="C7:E7"/>
    <mergeCell ref="G7:H7"/>
    <mergeCell ref="G19:I19"/>
  </mergeCells>
  <dataValidations count="1">
    <dataValidation type="list" allowBlank="1" showInputMessage="1" showErrorMessage="1" sqref="D9:D46" xr:uid="{D15A7286-B3C8-474E-A852-ADE9F80329E3}">
      <formula1>"Holerite,CNPJ,Freelancer,13º - 1ª Parcela,13º - 2ª Parcela"</formula1>
    </dataValidation>
  </dataValidations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3B79-CE70-45C6-8627-57BDF0D4EB8E}">
  <dimension ref="A1:D51"/>
  <sheetViews>
    <sheetView showGridLines="0" workbookViewId="0">
      <selection activeCell="D18" sqref="D18"/>
    </sheetView>
  </sheetViews>
  <sheetFormatPr defaultRowHeight="14.4"/>
  <cols>
    <col min="1" max="1" width="34.88671875" bestFit="1" customWidth="1"/>
    <col min="3" max="3" width="21.33203125" bestFit="1" customWidth="1"/>
    <col min="4" max="4" width="11.5546875" bestFit="1" customWidth="1"/>
  </cols>
  <sheetData>
    <row r="1" spans="1:4">
      <c r="A1" s="6" t="s">
        <v>20</v>
      </c>
      <c r="C1" s="35" t="s">
        <v>101</v>
      </c>
      <c r="D1" s="35" t="s">
        <v>102</v>
      </c>
    </row>
    <row r="2" spans="1:4">
      <c r="A2" s="7" t="s">
        <v>21</v>
      </c>
      <c r="C2" t="str">
        <f>INFORMES!D10</f>
        <v>184 - Banco Itaú BBA S.A.</v>
      </c>
      <c r="D2" s="34">
        <f>INFORMES!D11</f>
        <v>85000</v>
      </c>
    </row>
    <row r="3" spans="1:4">
      <c r="A3" s="7" t="s">
        <v>22</v>
      </c>
      <c r="C3" t="str">
        <f>INFORMES!D15</f>
        <v>260 - Nubank</v>
      </c>
      <c r="D3" s="34">
        <f>INFORMES!D16</f>
        <v>28400</v>
      </c>
    </row>
    <row r="4" spans="1:4">
      <c r="A4" s="7" t="s">
        <v>23</v>
      </c>
      <c r="C4" t="str">
        <f>INFORMES!D20</f>
        <v>1 - Banco do Brasil</v>
      </c>
      <c r="D4" s="34">
        <f>INFORMES!D21</f>
        <v>65000</v>
      </c>
    </row>
    <row r="5" spans="1:4">
      <c r="A5" s="7" t="s">
        <v>24</v>
      </c>
    </row>
    <row r="6" spans="1:4">
      <c r="A6" s="7" t="s">
        <v>25</v>
      </c>
    </row>
    <row r="7" spans="1:4">
      <c r="A7" s="7" t="s">
        <v>26</v>
      </c>
    </row>
    <row r="8" spans="1:4">
      <c r="A8" s="7" t="s">
        <v>27</v>
      </c>
    </row>
    <row r="9" spans="1:4">
      <c r="A9" s="7" t="s">
        <v>28</v>
      </c>
    </row>
    <row r="10" spans="1:4">
      <c r="A10" s="7" t="s">
        <v>29</v>
      </c>
    </row>
    <row r="11" spans="1:4">
      <c r="A11" s="7" t="s">
        <v>30</v>
      </c>
    </row>
    <row r="12" spans="1:4">
      <c r="A12" s="7" t="s">
        <v>31</v>
      </c>
    </row>
    <row r="13" spans="1:4">
      <c r="A13" s="7" t="s">
        <v>32</v>
      </c>
    </row>
    <row r="14" spans="1:4">
      <c r="A14" s="7" t="s">
        <v>33</v>
      </c>
    </row>
    <row r="15" spans="1:4">
      <c r="A15" s="7" t="s">
        <v>34</v>
      </c>
    </row>
    <row r="16" spans="1:4">
      <c r="A16" s="7" t="s">
        <v>35</v>
      </c>
    </row>
    <row r="17" spans="1:1">
      <c r="A17" s="7" t="s">
        <v>36</v>
      </c>
    </row>
    <row r="18" spans="1:1">
      <c r="A18" s="7" t="s">
        <v>37</v>
      </c>
    </row>
    <row r="19" spans="1:1">
      <c r="A19" s="7" t="s">
        <v>38</v>
      </c>
    </row>
    <row r="20" spans="1:1">
      <c r="A20" s="7" t="s">
        <v>39</v>
      </c>
    </row>
    <row r="21" spans="1:1">
      <c r="A21" s="7" t="s">
        <v>40</v>
      </c>
    </row>
    <row r="22" spans="1:1">
      <c r="A22" s="7" t="s">
        <v>41</v>
      </c>
    </row>
    <row r="23" spans="1:1">
      <c r="A23" s="7" t="s">
        <v>42</v>
      </c>
    </row>
    <row r="24" spans="1:1">
      <c r="A24" s="7" t="s">
        <v>43</v>
      </c>
    </row>
    <row r="25" spans="1:1">
      <c r="A25" s="7" t="s">
        <v>44</v>
      </c>
    </row>
    <row r="26" spans="1:1">
      <c r="A26" s="7" t="s">
        <v>45</v>
      </c>
    </row>
    <row r="27" spans="1:1">
      <c r="A27" s="7" t="s">
        <v>46</v>
      </c>
    </row>
    <row r="28" spans="1:1">
      <c r="A28" s="7" t="s">
        <v>47</v>
      </c>
    </row>
    <row r="29" spans="1:1">
      <c r="A29" s="7" t="s">
        <v>48</v>
      </c>
    </row>
    <row r="30" spans="1:1">
      <c r="A30" s="7" t="s">
        <v>49</v>
      </c>
    </row>
    <row r="31" spans="1:1">
      <c r="A31" s="7" t="s">
        <v>50</v>
      </c>
    </row>
    <row r="32" spans="1:1">
      <c r="A32" s="7" t="s">
        <v>51</v>
      </c>
    </row>
    <row r="33" spans="1:1">
      <c r="A33" s="7" t="s">
        <v>52</v>
      </c>
    </row>
    <row r="34" spans="1:1">
      <c r="A34" s="7" t="s">
        <v>53</v>
      </c>
    </row>
    <row r="35" spans="1:1">
      <c r="A35" s="7" t="s">
        <v>54</v>
      </c>
    </row>
    <row r="36" spans="1:1">
      <c r="A36" s="7" t="s">
        <v>55</v>
      </c>
    </row>
    <row r="37" spans="1:1">
      <c r="A37" s="7" t="s">
        <v>56</v>
      </c>
    </row>
    <row r="38" spans="1:1">
      <c r="A38" s="7" t="s">
        <v>57</v>
      </c>
    </row>
    <row r="39" spans="1:1">
      <c r="A39" s="7" t="s">
        <v>58</v>
      </c>
    </row>
    <row r="40" spans="1:1">
      <c r="A40" s="7" t="s">
        <v>59</v>
      </c>
    </row>
    <row r="41" spans="1:1">
      <c r="A41" s="7" t="s">
        <v>60</v>
      </c>
    </row>
    <row r="42" spans="1:1">
      <c r="A42" s="7" t="s">
        <v>61</v>
      </c>
    </row>
    <row r="43" spans="1:1">
      <c r="A43" s="7" t="s">
        <v>62</v>
      </c>
    </row>
    <row r="44" spans="1:1">
      <c r="A44" s="7" t="s">
        <v>63</v>
      </c>
    </row>
    <row r="45" spans="1:1">
      <c r="A45" s="7" t="s">
        <v>64</v>
      </c>
    </row>
    <row r="46" spans="1:1">
      <c r="A46" s="7" t="s">
        <v>65</v>
      </c>
    </row>
    <row r="47" spans="1:1">
      <c r="A47" s="7" t="s">
        <v>66</v>
      </c>
    </row>
    <row r="48" spans="1:1">
      <c r="A48" s="7" t="s">
        <v>67</v>
      </c>
    </row>
    <row r="49" spans="1:1">
      <c r="A49" s="7" t="s">
        <v>68</v>
      </c>
    </row>
    <row r="50" spans="1:1">
      <c r="A50" s="7" t="s">
        <v>69</v>
      </c>
    </row>
    <row r="51" spans="1:1">
      <c r="A51" s="7" t="s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TITULAR</vt:lpstr>
      <vt:lpstr>INFORMES</vt:lpstr>
      <vt:lpstr>NOTAS</vt:lpstr>
      <vt:lpstr>TABELAS</vt:lpstr>
      <vt:lpstr>tabela_entradas</vt:lpstr>
      <vt:lpstr>valor_entradas</vt:lpstr>
      <vt:lpstr>valor_investimento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Alves</dc:creator>
  <cp:lastModifiedBy>Leticia Alves</cp:lastModifiedBy>
  <dcterms:created xsi:type="dcterms:W3CDTF">2026-09-15T19:40:03Z</dcterms:created>
  <dcterms:modified xsi:type="dcterms:W3CDTF">2026-09-20T22:27:52Z</dcterms:modified>
</cp:coreProperties>
</file>